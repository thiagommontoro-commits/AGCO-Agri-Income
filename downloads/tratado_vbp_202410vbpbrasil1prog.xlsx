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agromapa-my.sharepoint.com/personal/eliana_bastos_agricultura_gov_br/Documents/MAPA 2022/MAPA/VBP/2024/VBP SITE/ENVIADOS/"/>
    </mc:Choice>
  </mc:AlternateContent>
  <xr:revisionPtr revIDLastSave="1" documentId="8_{E7F45BB8-356F-466C-B337-9490107E7F47}" xr6:coauthVersionLast="47" xr6:coauthVersionMax="47" xr10:uidLastSave="{1278CFB8-828F-4796-8C88-F166938266A4}"/>
  <bookViews>
    <workbookView xWindow="-120" yWindow="-120" windowWidth="29040" windowHeight="15720" tabRatio="833" xr2:uid="{00000000-000D-0000-FFFF-FFFF00000000}"/>
  </bookViews>
  <sheets>
    <sheet name="Capa" sheetId="30" r:id="rId1"/>
    <sheet name="VBP" sheetId="25" r:id="rId2"/>
    <sheet name="VBP completo" sheetId="26" r:id="rId3"/>
    <sheet name="Laspeyres" sheetId="23" r:id="rId4"/>
    <sheet name="Variação" sheetId="16" r:id="rId5"/>
    <sheet name="VBP Completo Nominal" sheetId="28" r:id="rId6"/>
    <sheet name="Ranking 2024" sheetId="29" r:id="rId7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<sst xmlns="http://schemas.openxmlformats.org/spreadsheetml/2006/main" count="637" uniqueCount="136">
  <si>
    <t xml:space="preserve"> </t>
  </si>
  <si>
    <t>VALOR BRUTO DA PRODUÇÃO - LAVOURAS E PECUÁRIA - BRASIL</t>
  </si>
  <si>
    <t>Valores em R$*</t>
  </si>
  <si>
    <t>LAVOURAS</t>
  </si>
  <si>
    <t>2024**</t>
  </si>
  <si>
    <t>variação % 2024/2023</t>
  </si>
  <si>
    <t>Gráficos</t>
  </si>
  <si>
    <t>Algodão</t>
  </si>
  <si>
    <t>Amendoim</t>
  </si>
  <si>
    <t>Arroz</t>
  </si>
  <si>
    <t>Banana</t>
  </si>
  <si>
    <t>Batata - inglesa</t>
  </si>
  <si>
    <t>Cacau</t>
  </si>
  <si>
    <t>Café</t>
  </si>
  <si>
    <t>Cana-de-açúcar</t>
  </si>
  <si>
    <t>Feijão</t>
  </si>
  <si>
    <t>Laranja</t>
  </si>
  <si>
    <t>Mamona</t>
  </si>
  <si>
    <t>Mandioca</t>
  </si>
  <si>
    <t>Milho</t>
  </si>
  <si>
    <t>Soja</t>
  </si>
  <si>
    <t>Tomate</t>
  </si>
  <si>
    <t>Trigo</t>
  </si>
  <si>
    <t>Uva</t>
  </si>
  <si>
    <t>TOTAL LAVOURAS</t>
  </si>
  <si>
    <t>Bovinos</t>
  </si>
  <si>
    <t>Suínos</t>
  </si>
  <si>
    <t>Frango</t>
  </si>
  <si>
    <t>Leite</t>
  </si>
  <si>
    <t>Ovos</t>
  </si>
  <si>
    <t>TOTAL PECUÁRIA</t>
  </si>
  <si>
    <t>VBP TOTAL</t>
  </si>
  <si>
    <t xml:space="preserve">OBS: Devido a descontinuidade da informação pela FGV-FGVDados, comunicado da FGV em 24/04/2017, foram usados preços da FGV até dez/2016. A partir desta data os produtos, que antes eram informados pela FGV, passaram a ser substituídos pelos preços da Conab.  Informamos que em janeiro/2021 reformulamos o cálculo do algodão, passando a utilizar apenas o algodão em pluma, que agora tem como fonte, para produção e preço, a CONAB. O cálculo é retroativo a 2017. </t>
  </si>
  <si>
    <t>Nota: a partir de dezembro de 2015 preços de laranja retroativo a 2012 e frango retroativo a 2005, foram alterados para Conab e Cepea respectivamente. Para cacau, a partir de abril/2017, retroativo a jan/2016 foi alterado para Conab.</t>
  </si>
  <si>
    <t>Devido a descontinuidade da informação de produção pelo LSPA/IBGE, fonte desta informação, as séries de cebola, maçã e pimenta do reino finalizam-se em 2017.</t>
  </si>
  <si>
    <t>OBS: 1) informamos que em março/2023, a série histórica de frangos, foi revisada devido à identificação de registros de peso vivo de frangos em vez de peso de carcaça, conforme nota IBGE.</t>
  </si>
  <si>
    <t xml:space="preserve">         2) informamos que a série de suíno, a partir de janeiro/2024, passou por alteração em sua metodologia, adotando-se os preços de suíno vivo convertido para carcaça, para formação do valor bruto.</t>
  </si>
  <si>
    <t>Elaboração: CGPOP/DAEP/SPA/MAPA.</t>
  </si>
  <si>
    <t>Valores em bilhões R$*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</si>
  <si>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</si>
  <si>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</si>
  <si>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</si>
  <si>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</si>
  <si>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</si>
  <si>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</si>
  <si>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</si>
  <si>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</si>
  <si>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</si>
  <si>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</si>
  <si>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</si>
  <si>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</si>
  <si>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</si>
  <si>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</si>
  <si>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</si>
  <si>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</si>
  <si>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</si>
  <si>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</si>
  <si>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</si>
  <si>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</si>
  <si>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</si>
  <si>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</si>
  <si>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</si>
  <si>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</si>
  <si>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</si>
  <si>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</si>
  <si>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</si>
  <si>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</si>
  <si>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</si>
  <si>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</si>
  <si>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</si>
  <si>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</si>
  <si>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</si>
  <si>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2023</t>
  </si>
  <si>
    <t>% 2023/2022</t>
  </si>
  <si>
    <t>% 2024/2023</t>
  </si>
  <si>
    <t xml:space="preserve">   Café arábica</t>
  </si>
  <si>
    <t xml:space="preserve">   Café conilon</t>
  </si>
  <si>
    <t>Cebola</t>
  </si>
  <si>
    <t>Fumo</t>
  </si>
  <si>
    <t>Pimenta-do-reino</t>
  </si>
  <si>
    <t>Maçã</t>
  </si>
  <si>
    <t>PECUÁRIA</t>
  </si>
  <si>
    <t>Evolução do Produto de Lavouras</t>
  </si>
  <si>
    <t>(Índice de Laspeyres)</t>
  </si>
  <si>
    <t>Ano</t>
  </si>
  <si>
    <t>Indice de Prod. base 1990</t>
  </si>
  <si>
    <t>variação anual</t>
  </si>
  <si>
    <t>Fonte dos dados brutos: FGV e IBGE; Elaboração: CGPOP/DAEP/SPA/MAPA.</t>
  </si>
  <si>
    <t>Nota: Os preços utilizados são do Censo Agropecuário 1995/96</t>
  </si>
  <si>
    <t>VALOR BRUTO DA PRODUÇÃO - PRINCIPAIS PRODUTOS AGROPECUÁRIOS - BRASIL</t>
  </si>
  <si>
    <t>Últimos 6 meses - Valores em R$*</t>
  </si>
  <si>
    <t>Variação Percentual (%)</t>
  </si>
  <si>
    <t>abr/jun</t>
  </si>
  <si>
    <t>jun/jul</t>
  </si>
  <si>
    <t>Algodão Pluma</t>
  </si>
  <si>
    <t>**Informamos que em janeiro/2021 reformulamos o cálculo do algodão, passando a utilizar apenas o algodão em pluma, que agora tem como fonte, para produção e preço, a CONAB.</t>
  </si>
  <si>
    <t>VALOR BRUTO NOMINAL DA PRODUÇÃO - LAVOURAS E PECUÁRIA - BRASIL</t>
  </si>
  <si>
    <t>* Valores nominais</t>
  </si>
  <si>
    <t>Posição do Produto no Valor Bruto da Produção</t>
  </si>
  <si>
    <t>POSIÇÃO</t>
  </si>
  <si>
    <t>%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</si>
  <si>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</si>
  <si>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</si>
  <si>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</si>
  <si>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</si>
  <si>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</si>
  <si>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</si>
  <si>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</si>
  <si>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</si>
  <si>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</si>
  <si>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</si>
  <si>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</si>
  <si>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</si>
  <si>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</si>
  <si>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</si>
  <si>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</si>
  <si>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</si>
  <si>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</si>
  <si>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-</t>
  </si>
  <si>
    <t>jul/ago</t>
  </si>
  <si>
    <t>ago/set</t>
  </si>
  <si>
    <t>2025***</t>
  </si>
  <si>
    <t>***1º Prognóstico da safra de 2025 (algodão, amendoim, arroz, feijão, mamona, milho, soja e trigo, os demais produtos repetiu-se a safra de 2024). Pecuária considerou-se a produção dos últimos 4 Trimestres.</t>
  </si>
  <si>
    <t>% 2025/2024</t>
  </si>
  <si>
    <t>PREÇOS CONAB para: Algodão, Amendoim, Arroz, Banana, Batata – inglesa, Cacau, Cana-de-açúcar, Cebola, Feijão, Fumo, Laranja, Mamona, Mandioca, Milho, Pimenta-do-reino, Soja, Tomate, Uva, Bovinos, Suínos, Leite, Ovos; PREÇOS Cepea/ESALQ/USP para: Café, Maçã, Trigo, Suíno (RS) e Frango; Café refere-se ao café arábica tipo 6, bebida dura para melhor e café robusta tipo 6, peneira 13 acima, com 86 defeitos; maçã refere-se a maçã gala nacional.</t>
  </si>
  <si>
    <t>PREÇOS CONAB para: Algodão, Amendoim, Arroz, Banana, Batata – inglesa, Cacau, Cana-de-açúcar, Cebola, Feijão, Fumo, Laranja, Mamona, Mandioca, Milho, Pimenta-do-reino, Soja, Tomate, Uva, Bovinos, Suínos, Leite, Ovos; PREÇOS Cepea/ESALQ/USP para: Café, Maçã, Trigo, suíno (RS) e Frango; Café refere-se ao café arábica tipo 6, bebida dura para melhor e café robusta tipo 6, peneira 13 acima, com 86 defeitos; maçã refere-se a maçã gala nacional.</t>
  </si>
  <si>
    <t xml:space="preserve">         3) em outubro de 2024 a série de suínos foi ajustada, alterando os dados a partir de 2017, para se adequar a nova metodologia implantada em janeiro/2024. </t>
  </si>
  <si>
    <t>variação % 2025/2024</t>
  </si>
  <si>
    <t>set/out</t>
  </si>
  <si>
    <t>Fonte Produção: Lavouras: IBGE - Levantamento Sistemático da Produção Agrícola - LSPA e Algodão Pluma, CONAB - Previsão de Safra; outubro/2024; Pecuária: IBGE - Pesquisa Trimestral do Abate de Animais; Pesquisa Trimestral do Leite, Produção de Ovos de Galinha. Considerou-se para o ano em curso a produção dos últimos 4 trimestres.</t>
  </si>
  <si>
    <t>Fonte Preços: Cepea/Esalq/USP, CONAB e FGV/FGVDados; Preços Recebidos pelos Produtores média anual para os anos fechados, para 2024 preços médios de janeiro a outubro e para 2025 preços médios de outubro.</t>
  </si>
  <si>
    <t xml:space="preserve">* Valores deflacionados pelo IGP-DI da FGV - outubro/2024. </t>
  </si>
  <si>
    <t>** Valor Preliminar com base em janeiro a outubro/2024</t>
  </si>
  <si>
    <t>Fonte Preços: Cepea/Esalq/USP, CONAB e FGV/FGVDados; Preços Recebidos pelos Produtores média anual para os anos fechados e para 2024, preços médios de janeiro a outubro.</t>
  </si>
  <si>
    <t>* As informações de produção referem-se ao LSPA de outubro/2024</t>
  </si>
  <si>
    <t>Fonte: IBGE - Levantamento Sistemático da Produção Agrícola - LSPA e Algodão Pluma, CONAB - Previsão de Safra;  maio/2024 a outubro/2024; Pecuária: IBGE - Pesquisa Trimestral do Abate de Animais; Pesquisa Trimestral do Leite, Produção de Ovos de Galinha. Considerou-se para o ano em curso a produção dos últimos 4 trimestres.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</si>
</sst>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0"/>
      <name val="Segoe UI"/>
      <family val="2"/>
    </font>
    <font>
      <sz val="12"/>
      <name val="Segoe UI"/>
      <family val="2"/>
    </font>
    <font>
      <b/>
      <sz val="12"/>
      <color theme="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u/>
      <sz val="10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/>
        <bgColor theme="9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6" tint="-0.249977111117893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6" tint="0.39997558519241921"/>
      </right>
      <top style="thin">
        <color indexed="64"/>
      </top>
      <bottom style="double">
        <color indexed="64"/>
      </bottom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6" tint="0.39997558519241921"/>
      </right>
      <top style="thin">
        <color indexed="64"/>
      </top>
      <bottom style="double">
        <color indexed="64"/>
      </bottom>
      <diagonal/>
    </border>
    <border>
      <left/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/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theme="0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/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double">
        <color indexed="64"/>
      </bottom>
      <diagonal/>
    </border>
    <border>
      <left style="thin">
        <color indexed="22"/>
      </left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 style="thin">
        <color theme="0"/>
      </right>
      <top style="thin">
        <color indexed="64"/>
      </top>
      <bottom style="double">
        <color indexed="64"/>
      </bottom>
      <diagonal/>
    </border>
    <border>
      <left style="thin">
        <color indexed="22"/>
      </left>
      <right style="thin">
        <color indexed="22"/>
      </right>
      <top style="thin">
        <color theme="0"/>
      </top>
      <bottom style="thin">
        <color theme="0"/>
      </bottom>
      <diagonal/>
    </border>
    <border>
      <left style="thin">
        <color indexed="22"/>
      </left>
      <right style="thin">
        <color indexed="22"/>
      </right>
      <top style="double">
        <color indexed="64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double">
        <color indexed="64"/>
      </top>
      <bottom style="thin">
        <color theme="0"/>
      </bottom>
      <diagonal/>
    </border>
    <border>
      <left style="thin">
        <color theme="0"/>
      </left>
      <right/>
      <top style="double">
        <color indexed="64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22"/>
      </left>
      <right style="thin">
        <color theme="0"/>
      </right>
      <top style="double">
        <color indexed="64"/>
      </top>
      <bottom style="double">
        <color indexed="64"/>
      </bottom>
      <diagonal/>
    </border>
    <border>
      <left style="thin">
        <color theme="0"/>
      </left>
      <right/>
      <top style="double">
        <color indexed="64"/>
      </top>
      <bottom style="double">
        <color indexed="64"/>
      </bottom>
      <diagonal/>
    </border>
    <border>
      <left style="thin">
        <color indexed="22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22"/>
      </right>
      <top style="double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22"/>
      </right>
      <top style="double">
        <color indexed="64"/>
      </top>
      <bottom style="double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</cellStyleXfs>
  <cellXfs count="153">
    <xf numFmtId="0" fontId="0" fillId="0" borderId="0" xfId="0"/>
    <xf numFmtId="0" fontId="5" fillId="0" borderId="0" xfId="0" applyFont="1" applyAlignment="1">
      <alignment horizontal="centerContinuous" vertical="center" wrapText="1"/>
    </xf>
    <xf numFmtId="0" fontId="6" fillId="0" borderId="0" xfId="0" applyFont="1"/>
    <xf numFmtId="0" fontId="8" fillId="0" borderId="0" xfId="0" applyFont="1"/>
    <xf numFmtId="0" fontId="8" fillId="0" borderId="1" xfId="0" applyFont="1" applyBorder="1" applyAlignment="1">
      <alignment horizontal="centerContinuous"/>
    </xf>
    <xf numFmtId="0" fontId="8" fillId="0" borderId="0" xfId="0" applyFont="1" applyAlignment="1">
      <alignment horizontal="centerContinuous"/>
    </xf>
    <xf numFmtId="0" fontId="9" fillId="4" borderId="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left"/>
    </xf>
    <xf numFmtId="0" fontId="10" fillId="5" borderId="10" xfId="0" applyFont="1" applyFill="1" applyBorder="1"/>
    <xf numFmtId="3" fontId="10" fillId="5" borderId="11" xfId="0" applyNumberFormat="1" applyFont="1" applyFill="1" applyBorder="1"/>
    <xf numFmtId="164" fontId="10" fillId="5" borderId="7" xfId="0" applyNumberFormat="1" applyFont="1" applyFill="1" applyBorder="1" applyAlignment="1">
      <alignment horizontal="center"/>
    </xf>
    <xf numFmtId="3" fontId="10" fillId="5" borderId="6" xfId="0" applyNumberFormat="1" applyFont="1" applyFill="1" applyBorder="1"/>
    <xf numFmtId="0" fontId="8" fillId="0" borderId="0" xfId="0" applyFont="1" applyAlignment="1">
      <alignment horizontal="left"/>
    </xf>
    <xf numFmtId="0" fontId="10" fillId="0" borderId="10" xfId="0" applyFont="1" applyBorder="1"/>
    <xf numFmtId="3" fontId="10" fillId="0" borderId="11" xfId="0" applyNumberFormat="1" applyFont="1" applyBorder="1"/>
    <xf numFmtId="164" fontId="10" fillId="0" borderId="7" xfId="0" applyNumberFormat="1" applyFont="1" applyBorder="1" applyAlignment="1">
      <alignment horizontal="center"/>
    </xf>
    <xf numFmtId="3" fontId="10" fillId="0" borderId="6" xfId="0" applyNumberFormat="1" applyFont="1" applyBorder="1"/>
    <xf numFmtId="0" fontId="11" fillId="2" borderId="8" xfId="0" applyFont="1" applyFill="1" applyBorder="1"/>
    <xf numFmtId="3" fontId="11" fillId="2" borderId="3" xfId="0" applyNumberFormat="1" applyFont="1" applyFill="1" applyBorder="1"/>
    <xf numFmtId="164" fontId="10" fillId="2" borderId="2" xfId="0" applyNumberFormat="1" applyFont="1" applyFill="1" applyBorder="1" applyAlignment="1">
      <alignment horizontal="center"/>
    </xf>
    <xf numFmtId="3" fontId="11" fillId="2" borderId="9" xfId="0" applyNumberFormat="1" applyFont="1" applyFill="1" applyBorder="1"/>
    <xf numFmtId="0" fontId="11" fillId="3" borderId="8" xfId="0" applyFont="1" applyFill="1" applyBorder="1"/>
    <xf numFmtId="3" fontId="11" fillId="3" borderId="3" xfId="0" applyNumberFormat="1" applyFont="1" applyFill="1" applyBorder="1"/>
    <xf numFmtId="164" fontId="10" fillId="3" borderId="2" xfId="0" applyNumberFormat="1" applyFont="1" applyFill="1" applyBorder="1" applyAlignment="1">
      <alignment horizontal="center"/>
    </xf>
    <xf numFmtId="3" fontId="11" fillId="3" borderId="9" xfId="0" applyNumberFormat="1" applyFont="1" applyFill="1" applyBorder="1"/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12" fillId="0" borderId="0" xfId="0" applyFont="1" applyAlignment="1">
      <alignment vertical="center" wrapText="1"/>
    </xf>
    <xf numFmtId="49" fontId="9" fillId="4" borderId="3" xfId="0" applyNumberFormat="1" applyFont="1" applyFill="1" applyBorder="1" applyAlignment="1">
      <alignment horizontal="center" vertical="center"/>
    </xf>
    <xf numFmtId="49" fontId="9" fillId="4" borderId="12" xfId="0" applyNumberFormat="1" applyFont="1" applyFill="1" applyBorder="1" applyAlignment="1">
      <alignment horizontal="center" vertical="center"/>
    </xf>
    <xf numFmtId="4" fontId="10" fillId="5" borderId="11" xfId="0" applyNumberFormat="1" applyFont="1" applyFill="1" applyBorder="1"/>
    <xf numFmtId="4" fontId="10" fillId="5" borderId="13" xfId="0" applyNumberFormat="1" applyFont="1" applyFill="1" applyBorder="1"/>
    <xf numFmtId="4" fontId="10" fillId="0" borderId="11" xfId="0" applyNumberFormat="1" applyFont="1" applyBorder="1"/>
    <xf numFmtId="4" fontId="10" fillId="0" borderId="13" xfId="0" applyNumberFormat="1" applyFont="1" applyBorder="1"/>
    <xf numFmtId="0" fontId="11" fillId="0" borderId="8" xfId="0" applyFont="1" applyBorder="1"/>
    <xf numFmtId="4" fontId="11" fillId="0" borderId="3" xfId="0" applyNumberFormat="1" applyFont="1" applyBorder="1"/>
    <xf numFmtId="4" fontId="11" fillId="0" borderId="12" xfId="0" applyNumberFormat="1" applyFont="1" applyBorder="1"/>
    <xf numFmtId="0" fontId="11" fillId="5" borderId="8" xfId="0" applyFont="1" applyFill="1" applyBorder="1"/>
    <xf numFmtId="4" fontId="11" fillId="5" borderId="3" xfId="0" applyNumberFormat="1" applyFont="1" applyFill="1" applyBorder="1"/>
    <xf numFmtId="4" fontId="11" fillId="5" borderId="12" xfId="0" applyNumberFormat="1" applyFont="1" applyFill="1" applyBorder="1"/>
    <xf numFmtId="0" fontId="8" fillId="0" borderId="0" xfId="0" applyFont="1" applyAlignment="1">
      <alignment horizontal="center"/>
    </xf>
    <xf numFmtId="0" fontId="5" fillId="4" borderId="8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/>
    </xf>
    <xf numFmtId="165" fontId="10" fillId="5" borderId="11" xfId="1" applyNumberFormat="1" applyFont="1" applyFill="1" applyBorder="1" applyAlignment="1">
      <alignment horizontal="center"/>
    </xf>
    <xf numFmtId="0" fontId="10" fillId="0" borderId="10" xfId="0" applyFont="1" applyBorder="1" applyAlignment="1">
      <alignment horizontal="center"/>
    </xf>
    <xf numFmtId="165" fontId="10" fillId="0" borderId="11" xfId="1" applyNumberFormat="1" applyFont="1" applyBorder="1" applyAlignment="1">
      <alignment horizontal="center"/>
    </xf>
    <xf numFmtId="0" fontId="11" fillId="2" borderId="8" xfId="0" applyFont="1" applyFill="1" applyBorder="1" applyAlignment="1">
      <alignment horizontal="center"/>
    </xf>
    <xf numFmtId="165" fontId="11" fillId="2" borderId="3" xfId="1" applyNumberFormat="1" applyFont="1" applyFill="1" applyBorder="1" applyAlignment="1">
      <alignment horizontal="center"/>
    </xf>
    <xf numFmtId="0" fontId="11" fillId="3" borderId="8" xfId="0" applyFont="1" applyFill="1" applyBorder="1" applyAlignment="1">
      <alignment horizontal="center"/>
    </xf>
    <xf numFmtId="165" fontId="11" fillId="3" borderId="3" xfId="1" applyNumberFormat="1" applyFont="1" applyFill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3" fontId="10" fillId="5" borderId="13" xfId="0" applyNumberFormat="1" applyFont="1" applyFill="1" applyBorder="1"/>
    <xf numFmtId="3" fontId="10" fillId="0" borderId="13" xfId="0" applyNumberFormat="1" applyFont="1" applyBorder="1"/>
    <xf numFmtId="3" fontId="11" fillId="0" borderId="3" xfId="0" applyNumberFormat="1" applyFont="1" applyBorder="1"/>
    <xf numFmtId="3" fontId="11" fillId="0" borderId="12" xfId="0" applyNumberFormat="1" applyFont="1" applyBorder="1"/>
    <xf numFmtId="3" fontId="11" fillId="5" borderId="3" xfId="0" applyNumberFormat="1" applyFont="1" applyFill="1" applyBorder="1"/>
    <xf numFmtId="3" fontId="11" fillId="5" borderId="12" xfId="0" applyNumberFormat="1" applyFont="1" applyFill="1" applyBorder="1"/>
    <xf numFmtId="0" fontId="9" fillId="8" borderId="3" xfId="0" applyFont="1" applyFill="1" applyBorder="1" applyAlignment="1">
      <alignment horizontal="center" vertical="center"/>
    </xf>
    <xf numFmtId="17" fontId="9" fillId="8" borderId="36" xfId="0" applyNumberFormat="1" applyFont="1" applyFill="1" applyBorder="1" applyAlignment="1">
      <alignment horizontal="center" vertical="center"/>
    </xf>
    <xf numFmtId="17" fontId="9" fillId="8" borderId="23" xfId="0" applyNumberFormat="1" applyFont="1" applyFill="1" applyBorder="1" applyAlignment="1">
      <alignment horizontal="center" vertical="center"/>
    </xf>
    <xf numFmtId="17" fontId="9" fillId="8" borderId="24" xfId="0" applyNumberFormat="1" applyFont="1" applyFill="1" applyBorder="1" applyAlignment="1">
      <alignment horizontal="center" vertical="center"/>
    </xf>
    <xf numFmtId="17" fontId="9" fillId="8" borderId="27" xfId="0" applyNumberFormat="1" applyFont="1" applyFill="1" applyBorder="1" applyAlignment="1">
      <alignment horizontal="center" vertical="center"/>
    </xf>
    <xf numFmtId="0" fontId="10" fillId="9" borderId="40" xfId="0" applyFont="1" applyFill="1" applyBorder="1"/>
    <xf numFmtId="3" fontId="10" fillId="9" borderId="38" xfId="0" applyNumberFormat="1" applyFont="1" applyFill="1" applyBorder="1" applyAlignment="1">
      <alignment horizontal="right"/>
    </xf>
    <xf numFmtId="3" fontId="10" fillId="9" borderId="28" xfId="0" applyNumberFormat="1" applyFont="1" applyFill="1" applyBorder="1" applyAlignment="1">
      <alignment horizontal="right"/>
    </xf>
    <xf numFmtId="3" fontId="10" fillId="9" borderId="35" xfId="0" applyNumberFormat="1" applyFont="1" applyFill="1" applyBorder="1" applyAlignment="1">
      <alignment horizontal="right"/>
    </xf>
    <xf numFmtId="4" fontId="10" fillId="9" borderId="37" xfId="0" applyNumberFormat="1" applyFont="1" applyFill="1" applyBorder="1" applyAlignment="1">
      <alignment horizontal="center"/>
    </xf>
    <xf numFmtId="4" fontId="10" fillId="9" borderId="29" xfId="0" applyNumberFormat="1" applyFont="1" applyFill="1" applyBorder="1" applyAlignment="1">
      <alignment horizontal="center"/>
    </xf>
    <xf numFmtId="4" fontId="10" fillId="9" borderId="30" xfId="0" applyNumberFormat="1" applyFont="1" applyFill="1" applyBorder="1" applyAlignment="1">
      <alignment horizontal="center"/>
    </xf>
    <xf numFmtId="4" fontId="10" fillId="9" borderId="31" xfId="0" applyNumberFormat="1" applyFont="1" applyFill="1" applyBorder="1" applyAlignment="1">
      <alignment horizontal="center"/>
    </xf>
    <xf numFmtId="0" fontId="10" fillId="10" borderId="40" xfId="0" applyFont="1" applyFill="1" applyBorder="1"/>
    <xf numFmtId="3" fontId="10" fillId="10" borderId="38" xfId="0" applyNumberFormat="1" applyFont="1" applyFill="1" applyBorder="1" applyAlignment="1">
      <alignment horizontal="right"/>
    </xf>
    <xf numFmtId="3" fontId="10" fillId="10" borderId="28" xfId="0" applyNumberFormat="1" applyFont="1" applyFill="1" applyBorder="1" applyAlignment="1">
      <alignment horizontal="right"/>
    </xf>
    <xf numFmtId="3" fontId="10" fillId="10" borderId="35" xfId="0" applyNumberFormat="1" applyFont="1" applyFill="1" applyBorder="1" applyAlignment="1">
      <alignment horizontal="right"/>
    </xf>
    <xf numFmtId="4" fontId="10" fillId="10" borderId="38" xfId="0" applyNumberFormat="1" applyFont="1" applyFill="1" applyBorder="1" applyAlignment="1">
      <alignment horizontal="center"/>
    </xf>
    <xf numFmtId="4" fontId="10" fillId="10" borderId="28" xfId="0" applyNumberFormat="1" applyFont="1" applyFill="1" applyBorder="1" applyAlignment="1">
      <alignment horizontal="center"/>
    </xf>
    <xf numFmtId="4" fontId="10" fillId="10" borderId="32" xfId="0" applyNumberFormat="1" applyFont="1" applyFill="1" applyBorder="1" applyAlignment="1">
      <alignment horizontal="center"/>
    </xf>
    <xf numFmtId="4" fontId="10" fillId="10" borderId="19" xfId="0" applyNumberFormat="1" applyFont="1" applyFill="1" applyBorder="1" applyAlignment="1">
      <alignment horizontal="center"/>
    </xf>
    <xf numFmtId="4" fontId="10" fillId="9" borderId="38" xfId="0" applyNumberFormat="1" applyFont="1" applyFill="1" applyBorder="1" applyAlignment="1">
      <alignment horizontal="center"/>
    </xf>
    <xf numFmtId="4" fontId="10" fillId="9" borderId="28" xfId="0" applyNumberFormat="1" applyFont="1" applyFill="1" applyBorder="1" applyAlignment="1">
      <alignment horizontal="center"/>
    </xf>
    <xf numFmtId="4" fontId="10" fillId="9" borderId="32" xfId="0" applyNumberFormat="1" applyFont="1" applyFill="1" applyBorder="1" applyAlignment="1">
      <alignment horizontal="center"/>
    </xf>
    <xf numFmtId="4" fontId="10" fillId="9" borderId="19" xfId="0" applyNumberFormat="1" applyFont="1" applyFill="1" applyBorder="1" applyAlignment="1">
      <alignment horizontal="center"/>
    </xf>
    <xf numFmtId="0" fontId="11" fillId="10" borderId="3" xfId="0" applyFont="1" applyFill="1" applyBorder="1"/>
    <xf numFmtId="3" fontId="11" fillId="10" borderId="36" xfId="0" applyNumberFormat="1" applyFont="1" applyFill="1" applyBorder="1"/>
    <xf numFmtId="3" fontId="11" fillId="10" borderId="23" xfId="0" applyNumberFormat="1" applyFont="1" applyFill="1" applyBorder="1"/>
    <xf numFmtId="3" fontId="11" fillId="10" borderId="24" xfId="0" applyNumberFormat="1" applyFont="1" applyFill="1" applyBorder="1"/>
    <xf numFmtId="4" fontId="11" fillId="10" borderId="36" xfId="0" applyNumberFormat="1" applyFont="1" applyFill="1" applyBorder="1" applyAlignment="1">
      <alignment horizontal="center"/>
    </xf>
    <xf numFmtId="4" fontId="11" fillId="10" borderId="23" xfId="0" applyNumberFormat="1" applyFont="1" applyFill="1" applyBorder="1" applyAlignment="1">
      <alignment horizontal="center"/>
    </xf>
    <xf numFmtId="4" fontId="11" fillId="10" borderId="27" xfId="0" applyNumberFormat="1" applyFont="1" applyFill="1" applyBorder="1" applyAlignment="1">
      <alignment horizontal="center"/>
    </xf>
    <xf numFmtId="4" fontId="11" fillId="10" borderId="16" xfId="0" applyNumberFormat="1" applyFont="1" applyFill="1" applyBorder="1" applyAlignment="1">
      <alignment horizontal="center"/>
    </xf>
    <xf numFmtId="3" fontId="10" fillId="9" borderId="38" xfId="0" applyNumberFormat="1" applyFont="1" applyFill="1" applyBorder="1"/>
    <xf numFmtId="3" fontId="10" fillId="9" borderId="28" xfId="0" applyNumberFormat="1" applyFont="1" applyFill="1" applyBorder="1"/>
    <xf numFmtId="3" fontId="10" fillId="9" borderId="35" xfId="0" applyNumberFormat="1" applyFont="1" applyFill="1" applyBorder="1"/>
    <xf numFmtId="3" fontId="10" fillId="10" borderId="38" xfId="0" applyNumberFormat="1" applyFont="1" applyFill="1" applyBorder="1"/>
    <xf numFmtId="3" fontId="10" fillId="10" borderId="28" xfId="0" applyNumberFormat="1" applyFont="1" applyFill="1" applyBorder="1"/>
    <xf numFmtId="3" fontId="10" fillId="10" borderId="35" xfId="0" applyNumberFormat="1" applyFont="1" applyFill="1" applyBorder="1"/>
    <xf numFmtId="0" fontId="11" fillId="9" borderId="4" xfId="0" applyFont="1" applyFill="1" applyBorder="1"/>
    <xf numFmtId="3" fontId="11" fillId="9" borderId="39" xfId="0" applyNumberFormat="1" applyFont="1" applyFill="1" applyBorder="1"/>
    <xf numFmtId="3" fontId="11" fillId="9" borderId="25" xfId="0" applyNumberFormat="1" applyFont="1" applyFill="1" applyBorder="1"/>
    <xf numFmtId="3" fontId="11" fillId="9" borderId="26" xfId="0" applyNumberFormat="1" applyFont="1" applyFill="1" applyBorder="1"/>
    <xf numFmtId="2" fontId="11" fillId="9" borderId="39" xfId="0" applyNumberFormat="1" applyFont="1" applyFill="1" applyBorder="1" applyAlignment="1">
      <alignment horizontal="center"/>
    </xf>
    <xf numFmtId="2" fontId="11" fillId="9" borderId="25" xfId="0" applyNumberFormat="1" applyFont="1" applyFill="1" applyBorder="1" applyAlignment="1">
      <alignment horizontal="center"/>
    </xf>
    <xf numFmtId="2" fontId="11" fillId="9" borderId="33" xfId="0" applyNumberFormat="1" applyFont="1" applyFill="1" applyBorder="1" applyAlignment="1">
      <alignment horizontal="center"/>
    </xf>
    <xf numFmtId="2" fontId="11" fillId="9" borderId="3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Continuous" wrapText="1"/>
    </xf>
    <xf numFmtId="0" fontId="11" fillId="7" borderId="14" xfId="0" applyFont="1" applyFill="1" applyBorder="1" applyAlignment="1">
      <alignment horizontal="center" vertical="center" wrapText="1"/>
    </xf>
    <xf numFmtId="4" fontId="11" fillId="7" borderId="15" xfId="0" applyNumberFormat="1" applyFont="1" applyFill="1" applyBorder="1" applyAlignment="1">
      <alignment horizontal="center" vertical="center" wrapText="1"/>
    </xf>
    <xf numFmtId="4" fontId="11" fillId="7" borderId="16" xfId="0" applyNumberFormat="1" applyFont="1" applyFill="1" applyBorder="1" applyAlignment="1">
      <alignment horizontal="center" vertical="center" wrapText="1"/>
    </xf>
    <xf numFmtId="0" fontId="11" fillId="6" borderId="20" xfId="0" applyFont="1" applyFill="1" applyBorder="1" applyAlignment="1">
      <alignment horizontal="center"/>
    </xf>
    <xf numFmtId="4" fontId="10" fillId="6" borderId="21" xfId="0" applyNumberFormat="1" applyFont="1" applyFill="1" applyBorder="1" applyAlignment="1">
      <alignment horizontal="center"/>
    </xf>
    <xf numFmtId="4" fontId="10" fillId="6" borderId="22" xfId="0" applyNumberFormat="1" applyFont="1" applyFill="1" applyBorder="1" applyAlignment="1">
      <alignment horizontal="center"/>
    </xf>
    <xf numFmtId="0" fontId="11" fillId="7" borderId="17" xfId="0" applyFont="1" applyFill="1" applyBorder="1" applyAlignment="1">
      <alignment horizontal="center"/>
    </xf>
    <xf numFmtId="4" fontId="10" fillId="7" borderId="18" xfId="0" applyNumberFormat="1" applyFont="1" applyFill="1" applyBorder="1" applyAlignment="1">
      <alignment horizontal="center"/>
    </xf>
    <xf numFmtId="4" fontId="10" fillId="7" borderId="19" xfId="0" applyNumberFormat="1" applyFont="1" applyFill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4" fontId="10" fillId="6" borderId="19" xfId="0" applyNumberFormat="1" applyFont="1" applyFill="1" applyBorder="1" applyAlignment="1">
      <alignment horizontal="center"/>
    </xf>
    <xf numFmtId="165" fontId="8" fillId="0" borderId="0" xfId="1" applyNumberFormat="1" applyFont="1"/>
    <xf numFmtId="165" fontId="8" fillId="0" borderId="0" xfId="1" applyNumberFormat="1" applyFont="1" applyBorder="1" applyAlignment="1">
      <alignment horizontal="center"/>
    </xf>
    <xf numFmtId="0" fontId="5" fillId="0" borderId="0" xfId="0" applyFont="1" applyAlignment="1">
      <alignment horizontal="centerContinuous" wrapText="1"/>
    </xf>
    <xf numFmtId="0" fontId="5" fillId="0" borderId="0" xfId="0" applyFont="1" applyAlignment="1">
      <alignment horizontal="left" wrapText="1"/>
    </xf>
    <xf numFmtId="0" fontId="6" fillId="0" borderId="5" xfId="0" applyFont="1" applyBorder="1" applyAlignment="1">
      <alignment vertical="center"/>
    </xf>
    <xf numFmtId="0" fontId="6" fillId="11" borderId="0" xfId="0" applyFont="1" applyFill="1"/>
    <xf numFmtId="0" fontId="6" fillId="0" borderId="0" xfId="0" applyFont="1" applyAlignment="1">
      <alignment horizontal="left" vertical="center" wrapText="1"/>
    </xf>
    <xf numFmtId="49" fontId="5" fillId="0" borderId="0" xfId="1" applyNumberFormat="1" applyFont="1" applyBorder="1" applyAlignment="1">
      <alignment horizontal="center" vertical="center" wrapText="1"/>
    </xf>
    <xf numFmtId="10" fontId="10" fillId="5" borderId="11" xfId="1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center"/>
    </xf>
    <xf numFmtId="3" fontId="10" fillId="5" borderId="11" xfId="0" applyNumberFormat="1" applyFont="1" applyFill="1" applyBorder="1" applyAlignment="1">
      <alignment horizontal="center"/>
    </xf>
    <xf numFmtId="3" fontId="10" fillId="5" borderId="13" xfId="0" applyNumberFormat="1" applyFont="1" applyFill="1" applyBorder="1" applyAlignment="1">
      <alignment horizontal="center"/>
    </xf>
    <xf numFmtId="3" fontId="10" fillId="0" borderId="13" xfId="0" applyNumberFormat="1" applyFont="1" applyBorder="1" applyAlignment="1">
      <alignment horizontal="center"/>
    </xf>
    <xf numFmtId="3" fontId="10" fillId="0" borderId="11" xfId="0" applyNumberFormat="1" applyFont="1" applyBorder="1" applyAlignment="1">
      <alignment horizontal="center"/>
    </xf>
    <xf numFmtId="3" fontId="11" fillId="0" borderId="3" xfId="0" applyNumberFormat="1" applyFont="1" applyBorder="1" applyAlignment="1">
      <alignment horizontal="center"/>
    </xf>
    <xf numFmtId="4" fontId="10" fillId="5" borderId="11" xfId="0" applyNumberFormat="1" applyFont="1" applyFill="1" applyBorder="1" applyAlignment="1">
      <alignment horizontal="center"/>
    </xf>
    <xf numFmtId="4" fontId="10" fillId="0" borderId="11" xfId="0" applyNumberFormat="1" applyFont="1" applyBorder="1" applyAlignment="1">
      <alignment horizontal="center"/>
    </xf>
    <xf numFmtId="4" fontId="10" fillId="5" borderId="13" xfId="0" applyNumberFormat="1" applyFont="1" applyFill="1" applyBorder="1" applyAlignment="1">
      <alignment horizontal="center"/>
    </xf>
    <xf numFmtId="4" fontId="10" fillId="0" borderId="13" xfId="0" applyNumberFormat="1" applyFont="1" applyBorder="1" applyAlignment="1">
      <alignment horizontal="center"/>
    </xf>
    <xf numFmtId="4" fontId="11" fillId="0" borderId="3" xfId="0" applyNumberFormat="1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6" fillId="0" borderId="5" xfId="0" applyFont="1" applyBorder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5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6" fillId="0" borderId="0" xfId="0" applyFont="1" applyAlignment="1">
      <alignment horizontal="left" wrapText="1"/>
    </xf>
  </cellXfs>
  <cellStyles count="5">
    <cellStyle name="Normal" xfId="0" builtinId="0"/>
    <cellStyle name="Normal 2" xfId="3" xr:uid="{00000000-0005-0000-0000-000001000000}"/>
    <cellStyle name="Normal 3" xfId="4" xr:uid="{00000000-0005-0000-0000-000002000000}"/>
    <cellStyle name="Porcentagem" xfId="1" builtinId="5"/>
    <cellStyle name="Porcentagem 2" xfId="2" xr:uid="{00000000-0005-0000-0000-000004000000}"/>
  </cellStyles>
  <dxfs count="0"/>
  <tableStyles count="0" defaultTableStyle="TableStyleMedium2" defaultPivotStyle="PivotStyleLight16"/>
  <colors>
    <mruColors>
      <color rgb="FFFF6600"/>
      <color rgb="FF008000"/>
      <color rgb="FF0000FF"/>
      <color rgb="FFEA813A"/>
      <color rgb="FFB3423F"/>
      <color rgb="FF3642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/>
              <a:t>VBP AGROPECUÁRIA -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1116004116506712E-2"/>
          <c:y val="4.6098971602614093E-2"/>
          <c:w val="0.93662968313651551"/>
          <c:h val="0.75650008227052745"/>
        </c:manualLayout>
      </c:layout>
      <c:lineChart>
        <c:grouping val="standard"/>
        <c:varyColors val="0"/>
        <c:ser>
          <c:idx val="0"/>
          <c:order val="0"/>
          <c:tx>
            <c:strRef>
              <c:f>'VBP completo'!$A$27</c:f>
              <c:strCache>
                <c:ptCount val="1"/>
                <c:pt idx="0">
                  <c:v>TOTAL LAVOURAS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completo'!$M$27:$AL$27</c:f>
              <c:numCache>
                <c:formatCode>#,##0.00</c:formatCode>
                <c:ptCount val="26"/>
                <c:pt idx="0">
                  <c:v>279.22534838972467</c:v>
                </c:pt>
                <c:pt idx="1">
                  <c:v>310.16772259924488</c:v>
                </c:pt>
                <c:pt idx="2">
                  <c:v>370.50605211564482</c:v>
                </c:pt>
                <c:pt idx="3">
                  <c:v>420.52153914498882</c:v>
                </c:pt>
                <c:pt idx="4">
                  <c:v>417.44263099527433</c:v>
                </c:pt>
                <c:pt idx="5">
                  <c:v>352.92891167487744</c:v>
                </c:pt>
                <c:pt idx="6">
                  <c:v>355.08497623222434</c:v>
                </c:pt>
                <c:pt idx="7">
                  <c:v>401.00376510254569</c:v>
                </c:pt>
                <c:pt idx="8">
                  <c:v>460.45133748613159</c:v>
                </c:pt>
                <c:pt idx="9">
                  <c:v>437.36778570101399</c:v>
                </c:pt>
                <c:pt idx="10">
                  <c:v>453.59873094259837</c:v>
                </c:pt>
                <c:pt idx="11">
                  <c:v>526.79885324554766</c:v>
                </c:pt>
                <c:pt idx="12">
                  <c:v>555.44563721380143</c:v>
                </c:pt>
                <c:pt idx="13">
                  <c:v>604.32839973723094</c:v>
                </c:pt>
                <c:pt idx="14">
                  <c:v>612.10357937047195</c:v>
                </c:pt>
                <c:pt idx="15">
                  <c:v>614.32451926870954</c:v>
                </c:pt>
                <c:pt idx="16">
                  <c:v>622.09280063464587</c:v>
                </c:pt>
                <c:pt idx="17">
                  <c:v>624.67564750855377</c:v>
                </c:pt>
                <c:pt idx="18">
                  <c:v>603.40162404757905</c:v>
                </c:pt>
                <c:pt idx="19">
                  <c:v>594.72431009607169</c:v>
                </c:pt>
                <c:pt idx="20">
                  <c:v>724.98288093431245</c:v>
                </c:pt>
                <c:pt idx="21">
                  <c:v>820.33563776815549</c:v>
                </c:pt>
                <c:pt idx="22">
                  <c:v>824.95788288145297</c:v>
                </c:pt>
                <c:pt idx="23">
                  <c:v>857.67188767851314</c:v>
                </c:pt>
                <c:pt idx="24">
                  <c:v>820.19549746327743</c:v>
                </c:pt>
                <c:pt idx="25">
                  <c:v>874.79702586013286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29-4859-937A-6DDCE1CE3021}"/>
            </c:ext>
          </c:extLst>
        </c:ser>
        <c:ser>
          <c:idx val="1"/>
          <c:order val="1"/>
          <c:tx>
            <c:strRef>
              <c:f>'VBP completo'!$A$33</c:f>
              <c:strCache>
                <c:ptCount val="1"/>
                <c:pt idx="0">
                  <c:v>TOTAL PECUÁRIA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completo'!$M$33:$AL$33</c:f>
              <c:numCache>
                <c:formatCode>#,##0.00</c:formatCode>
                <c:ptCount val="26"/>
                <c:pt idx="0">
                  <c:v>132.70838631297673</c:v>
                </c:pt>
                <c:pt idx="1">
                  <c:v>141.40914392201461</c:v>
                </c:pt>
                <c:pt idx="2">
                  <c:v>150.52134430273705</c:v>
                </c:pt>
                <c:pt idx="3">
                  <c:v>161.22881621930577</c:v>
                </c:pt>
                <c:pt idx="4">
                  <c:v>175.02024047804022</c:v>
                </c:pt>
                <c:pt idx="5">
                  <c:v>186.36314329421623</c:v>
                </c:pt>
                <c:pt idx="6">
                  <c:v>180.91459916388479</c:v>
                </c:pt>
                <c:pt idx="7">
                  <c:v>211.993491613294</c:v>
                </c:pt>
                <c:pt idx="8">
                  <c:v>237.27927338449726</c:v>
                </c:pt>
                <c:pt idx="9">
                  <c:v>234.13153893055883</c:v>
                </c:pt>
                <c:pt idx="10">
                  <c:v>243.89310449734245</c:v>
                </c:pt>
                <c:pt idx="11">
                  <c:v>258.11865232610018</c:v>
                </c:pt>
                <c:pt idx="12">
                  <c:v>263.26506195849299</c:v>
                </c:pt>
                <c:pt idx="13">
                  <c:v>293.68849717672396</c:v>
                </c:pt>
                <c:pt idx="14">
                  <c:v>316.56160961806944</c:v>
                </c:pt>
                <c:pt idx="15">
                  <c:v>322.64331875367719</c:v>
                </c:pt>
                <c:pt idx="16">
                  <c:v>311.31773016141381</c:v>
                </c:pt>
                <c:pt idx="17">
                  <c:v>315.29632082148544</c:v>
                </c:pt>
                <c:pt idx="18">
                  <c:v>305.22950565229462</c:v>
                </c:pt>
                <c:pt idx="19">
                  <c:v>333.72242821746488</c:v>
                </c:pt>
                <c:pt idx="20">
                  <c:v>368.99942647234582</c:v>
                </c:pt>
                <c:pt idx="21">
                  <c:v>381.70520020212626</c:v>
                </c:pt>
                <c:pt idx="22">
                  <c:v>376.33025509933913</c:v>
                </c:pt>
                <c:pt idx="23">
                  <c:v>384.19456886818028</c:v>
                </c:pt>
                <c:pt idx="24">
                  <c:v>397.47358129606749</c:v>
                </c:pt>
                <c:pt idx="25">
                  <c:v>435.04735533702018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29-4859-937A-6DDCE1CE3021}"/>
            </c:ext>
          </c:extLst>
        </c:ser>
        <c:ser>
          <c:idx val="2"/>
          <c:order val="2"/>
          <c:tx>
            <c:strRef>
              <c:f>'VBP completo'!$A$34</c:f>
              <c:strCache>
                <c:ptCount val="1"/>
                <c:pt idx="0">
                  <c:v>VBP TOTAL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elete val="1"/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completo'!$M$34:$AL$34</c:f>
              <c:numCache>
                <c:formatCode>#,##0.00</c:formatCode>
                <c:ptCount val="26"/>
                <c:pt idx="0">
                  <c:v>411.93373470270137</c:v>
                </c:pt>
                <c:pt idx="1">
                  <c:v>451.57686652125949</c:v>
                </c:pt>
                <c:pt idx="2">
                  <c:v>521.02739641838184</c:v>
                </c:pt>
                <c:pt idx="3">
                  <c:v>581.75035536429459</c:v>
                </c:pt>
                <c:pt idx="4">
                  <c:v>592.46287147331452</c:v>
                </c:pt>
                <c:pt idx="5">
                  <c:v>539.29205496909367</c:v>
                </c:pt>
                <c:pt idx="6">
                  <c:v>535.99957539610909</c:v>
                </c:pt>
                <c:pt idx="7">
                  <c:v>612.99725671583974</c:v>
                </c:pt>
                <c:pt idx="8">
                  <c:v>697.73061087062888</c:v>
                </c:pt>
                <c:pt idx="9">
                  <c:v>671.49932463157279</c:v>
                </c:pt>
                <c:pt idx="10">
                  <c:v>697.49183543994081</c:v>
                </c:pt>
                <c:pt idx="11">
                  <c:v>784.91750557164778</c:v>
                </c:pt>
                <c:pt idx="12">
                  <c:v>818.71069917229443</c:v>
                </c:pt>
                <c:pt idx="13">
                  <c:v>898.01689691395495</c:v>
                </c:pt>
                <c:pt idx="14">
                  <c:v>928.66518898854133</c:v>
                </c:pt>
                <c:pt idx="15">
                  <c:v>936.96783802238679</c:v>
                </c:pt>
                <c:pt idx="16">
                  <c:v>933.41053079605967</c:v>
                </c:pt>
                <c:pt idx="17">
                  <c:v>939.9719683300392</c:v>
                </c:pt>
                <c:pt idx="18">
                  <c:v>908.63112969987367</c:v>
                </c:pt>
                <c:pt idx="19">
                  <c:v>928.44673831353657</c:v>
                </c:pt>
                <c:pt idx="20">
                  <c:v>1093.9823074066583</c:v>
                </c:pt>
                <c:pt idx="21">
                  <c:v>1202.0408379702817</c:v>
                </c:pt>
                <c:pt idx="22">
                  <c:v>1201.288137980792</c:v>
                </c:pt>
                <c:pt idx="23">
                  <c:v>1241.8664565466934</c:v>
                </c:pt>
                <c:pt idx="24">
                  <c:v>1217.669078759345</c:v>
                </c:pt>
                <c:pt idx="25">
                  <c:v>1309.8443811971531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329-4859-937A-6DDCE1CE302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12368"/>
        <c:axId val="928912760"/>
      </c:lineChart>
      <c:catAx>
        <c:axId val="928912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Fonte: CGPOP/DAEP/SPA/MAPA.</a:t>
                </a:r>
              </a:p>
            </c:rich>
          </c:tx>
          <c:layout>
            <c:manualLayout>
              <c:xMode val="edge"/>
              <c:yMode val="edge"/>
              <c:x val="4.9784893140982951E-2"/>
              <c:y val="0.92614380509243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28912760"/>
        <c:crosses val="autoZero"/>
        <c:auto val="1"/>
        <c:lblAlgn val="ctr"/>
        <c:lblOffset val="100"/>
        <c:noMultiLvlLbl val="0"/>
      </c:catAx>
      <c:valAx>
        <c:axId val="928912760"/>
        <c:scaling>
          <c:orientation val="minMax"/>
          <c:max val="16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Bilhões R$*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928912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</c:legendEntry>
      <c:layout>
        <c:manualLayout>
          <c:xMode val="edge"/>
          <c:yMode val="edge"/>
          <c:x val="9.2630841797301841E-2"/>
          <c:y val="0.15587943720011133"/>
          <c:w val="0.55316944641614618"/>
          <c:h val="7.15952555328903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/>
              <a:t>VBP Pecuária - por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8895140637784648E-2"/>
          <c:y val="0.14510777465067151"/>
          <c:w val="0.91829519364923928"/>
          <c:h val="0.65311181827224007"/>
        </c:manualLayout>
      </c:layout>
      <c:lineChart>
        <c:grouping val="standard"/>
        <c:varyColors val="0"/>
        <c:ser>
          <c:idx val="0"/>
          <c:order val="0"/>
          <c:tx>
            <c:strRef>
              <c:f>'VBP completo'!$A$28</c:f>
              <c:strCache>
                <c:ptCount val="1"/>
                <c:pt idx="0">
                  <c:v>Bovinos</c:v>
                </c:pt>
              </c:strCache>
            </c:strRef>
          </c:tx>
          <c:spPr>
            <a:ln w="5080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squar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completo'!$M$28:$AL$28</c:f>
              <c:numCache>
                <c:formatCode>#,##0.00</c:formatCode>
                <c:ptCount val="26"/>
                <c:pt idx="0">
                  <c:v>59.510469035757978</c:v>
                </c:pt>
                <c:pt idx="1">
                  <c:v>65.783274702802302</c:v>
                </c:pt>
                <c:pt idx="2">
                  <c:v>69.808482858717042</c:v>
                </c:pt>
                <c:pt idx="3">
                  <c:v>70.454942237604726</c:v>
                </c:pt>
                <c:pt idx="4">
                  <c:v>79.27012781928876</c:v>
                </c:pt>
                <c:pt idx="5">
                  <c:v>76.959961584648482</c:v>
                </c:pt>
                <c:pt idx="6">
                  <c:v>79.903387670719823</c:v>
                </c:pt>
                <c:pt idx="7">
                  <c:v>86.836518368599755</c:v>
                </c:pt>
                <c:pt idx="8">
                  <c:v>95.877730204071426</c:v>
                </c:pt>
                <c:pt idx="9">
                  <c:v>94.877708059287215</c:v>
                </c:pt>
                <c:pt idx="10">
                  <c:v>100.02966319658233</c:v>
                </c:pt>
                <c:pt idx="11">
                  <c:v>105.7469439668652</c:v>
                </c:pt>
                <c:pt idx="12">
                  <c:v>107.32312222305238</c:v>
                </c:pt>
                <c:pt idx="13">
                  <c:v>116.30030418802176</c:v>
                </c:pt>
                <c:pt idx="14">
                  <c:v>133.60786363285993</c:v>
                </c:pt>
                <c:pt idx="15">
                  <c:v>138.20613224364718</c:v>
                </c:pt>
                <c:pt idx="16">
                  <c:v>129.36745376410661</c:v>
                </c:pt>
                <c:pt idx="17">
                  <c:v>126.95180924369765</c:v>
                </c:pt>
                <c:pt idx="18">
                  <c:v>127.80253791636592</c:v>
                </c:pt>
                <c:pt idx="19">
                  <c:v>136.84842674491762</c:v>
                </c:pt>
                <c:pt idx="20">
                  <c:v>156.97362343235096</c:v>
                </c:pt>
                <c:pt idx="21">
                  <c:v>160.07171771612897</c:v>
                </c:pt>
                <c:pt idx="22">
                  <c:v>156.19634508078633</c:v>
                </c:pt>
                <c:pt idx="23">
                  <c:v>149.12141786239596</c:v>
                </c:pt>
                <c:pt idx="24">
                  <c:v>151.93627509256962</c:v>
                </c:pt>
                <c:pt idx="25">
                  <c:v>180.48378501869689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D-4C04-8966-6DBDA0898BCD}"/>
            </c:ext>
          </c:extLst>
        </c:ser>
        <c:ser>
          <c:idx val="1"/>
          <c:order val="1"/>
          <c:tx>
            <c:strRef>
              <c:f>'VBP completo'!$A$29</c:f>
              <c:strCache>
                <c:ptCount val="1"/>
                <c:pt idx="0">
                  <c:v>Suínos</c:v>
                </c:pt>
              </c:strCache>
            </c:strRef>
          </c:tx>
          <c:spPr>
            <a:ln w="5080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-2.4768083139405137E-2"/>
                  <c:y val="-2.927662888292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8AD-4C04-8966-6DBDA0898BCD}"/>
                </c:ext>
              </c:extLst>
            </c:dLbl>
            <c:dLbl>
              <c:idx val="1"/>
              <c:layout>
                <c:manualLayout>
                  <c:x val="-2.4768083139405147E-2"/>
                  <c:y val="-2.195062155692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AD-4C04-8966-6DBDA0898BCD}"/>
                </c:ext>
              </c:extLst>
            </c:dLbl>
            <c:dLbl>
              <c:idx val="2"/>
              <c:layout>
                <c:manualLayout>
                  <c:x val="-2.4768083139405147E-2"/>
                  <c:y val="-1.828761789391710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AD-4C04-8966-6DBDA0898BCD}"/>
                </c:ext>
              </c:extLst>
            </c:dLbl>
            <c:dLbl>
              <c:idx val="3"/>
              <c:layout>
                <c:manualLayout>
                  <c:x val="-2.4768083139405147E-2"/>
                  <c:y val="-2.927662888292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AD-4C04-8966-6DBDA0898BCD}"/>
                </c:ext>
              </c:extLst>
            </c:dLbl>
            <c:dLbl>
              <c:idx val="4"/>
              <c:layout>
                <c:manualLayout>
                  <c:x val="-2.4768083139405147E-2"/>
                  <c:y val="-3.2939632545931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8AD-4C04-8966-6DBDA0898BCD}"/>
                </c:ext>
              </c:extLst>
            </c:dLbl>
            <c:dLbl>
              <c:idx val="5"/>
              <c:layout>
                <c:manualLayout>
                  <c:x val="-2.4768083139405147E-2"/>
                  <c:y val="-2.56136252199244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8AD-4C04-8966-6DBDA0898BCD}"/>
                </c:ext>
              </c:extLst>
            </c:dLbl>
            <c:dLbl>
              <c:idx val="6"/>
              <c:layout>
                <c:manualLayout>
                  <c:x val="-2.4768083139405147E-2"/>
                  <c:y val="-3.293963254593176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8AD-4C04-8966-6DBDA0898BCD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completo'!$M$29:$AL$29</c:f>
              <c:numCache>
                <c:formatCode>#,##0.00</c:formatCode>
                <c:ptCount val="26"/>
                <c:pt idx="0">
                  <c:v>10.775280308355638</c:v>
                </c:pt>
                <c:pt idx="1">
                  <c:v>12.92734714545831</c:v>
                </c:pt>
                <c:pt idx="2">
                  <c:v>13.249491378627855</c:v>
                </c:pt>
                <c:pt idx="3">
                  <c:v>14.160232845400966</c:v>
                </c:pt>
                <c:pt idx="4">
                  <c:v>15.920546192989104</c:v>
                </c:pt>
                <c:pt idx="5">
                  <c:v>18.458468467723293</c:v>
                </c:pt>
                <c:pt idx="6">
                  <c:v>16.236879204878473</c:v>
                </c:pt>
                <c:pt idx="7">
                  <c:v>17.362241162509733</c:v>
                </c:pt>
                <c:pt idx="8">
                  <c:v>20.558667445100014</c:v>
                </c:pt>
                <c:pt idx="9">
                  <c:v>20.781673694431497</c:v>
                </c:pt>
                <c:pt idx="10">
                  <c:v>22.861924677723735</c:v>
                </c:pt>
                <c:pt idx="11">
                  <c:v>22.897754169267643</c:v>
                </c:pt>
                <c:pt idx="12">
                  <c:v>21.499833278533544</c:v>
                </c:pt>
                <c:pt idx="13">
                  <c:v>24.893553771330861</c:v>
                </c:pt>
                <c:pt idx="14">
                  <c:v>26.146237862683179</c:v>
                </c:pt>
                <c:pt idx="15">
                  <c:v>27.942223009453343</c:v>
                </c:pt>
                <c:pt idx="16">
                  <c:v>25.786607906706259</c:v>
                </c:pt>
                <c:pt idx="17">
                  <c:v>38.440517890676084</c:v>
                </c:pt>
                <c:pt idx="18">
                  <c:v>30.585493983286746</c:v>
                </c:pt>
                <c:pt idx="19">
                  <c:v>37.863142487349208</c:v>
                </c:pt>
                <c:pt idx="20">
                  <c:v>50.904080239107962</c:v>
                </c:pt>
                <c:pt idx="21">
                  <c:v>47.29080320362749</c:v>
                </c:pt>
                <c:pt idx="22">
                  <c:v>41.262842439471839</c:v>
                </c:pt>
                <c:pt idx="23">
                  <c:v>47.209675036684857</c:v>
                </c:pt>
                <c:pt idx="24">
                  <c:v>52.520937949841255</c:v>
                </c:pt>
                <c:pt idx="25">
                  <c:v>62.737759627994571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AD-4C04-8966-6DBDA0898BCD}"/>
            </c:ext>
          </c:extLst>
        </c:ser>
        <c:ser>
          <c:idx val="2"/>
          <c:order val="2"/>
          <c:tx>
            <c:strRef>
              <c:f>'VBP completo'!$A$30</c:f>
              <c:strCache>
                <c:ptCount val="1"/>
                <c:pt idx="0">
                  <c:v>Frango</c:v>
                </c:pt>
              </c:strCache>
            </c:strRef>
          </c:tx>
          <c:spPr>
            <a:ln w="508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diamond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completo'!$M$30:$AL$30</c:f>
              <c:numCache>
                <c:formatCode>#,##0.00</c:formatCode>
                <c:ptCount val="26"/>
                <c:pt idx="0">
                  <c:v>29.725930402049549</c:v>
                </c:pt>
                <c:pt idx="1">
                  <c:v>31.022452269125946</c:v>
                </c:pt>
                <c:pt idx="2">
                  <c:v>35.228508713026535</c:v>
                </c:pt>
                <c:pt idx="3">
                  <c:v>40.104597153111087</c:v>
                </c:pt>
                <c:pt idx="4">
                  <c:v>42.611906917292984</c:v>
                </c:pt>
                <c:pt idx="5">
                  <c:v>50.43429869715537</c:v>
                </c:pt>
                <c:pt idx="6">
                  <c:v>46.14065900277452</c:v>
                </c:pt>
                <c:pt idx="7">
                  <c:v>62.122612868286012</c:v>
                </c:pt>
                <c:pt idx="8">
                  <c:v>69.992939163815507</c:v>
                </c:pt>
                <c:pt idx="9">
                  <c:v>66.905835011343584</c:v>
                </c:pt>
                <c:pt idx="10">
                  <c:v>65.703246146026288</c:v>
                </c:pt>
                <c:pt idx="11">
                  <c:v>70.672350020318106</c:v>
                </c:pt>
                <c:pt idx="12">
                  <c:v>71.170305394501511</c:v>
                </c:pt>
                <c:pt idx="13">
                  <c:v>78.958221061053862</c:v>
                </c:pt>
                <c:pt idx="14">
                  <c:v>76.534011013155563</c:v>
                </c:pt>
                <c:pt idx="15">
                  <c:v>81.467098243746861</c:v>
                </c:pt>
                <c:pt idx="16">
                  <c:v>83.146978832221549</c:v>
                </c:pt>
                <c:pt idx="17">
                  <c:v>75.627007662318277</c:v>
                </c:pt>
                <c:pt idx="18">
                  <c:v>75.186202178019002</c:v>
                </c:pt>
                <c:pt idx="19">
                  <c:v>87.619248159432217</c:v>
                </c:pt>
                <c:pt idx="20">
                  <c:v>86.423645578692259</c:v>
                </c:pt>
                <c:pt idx="21">
                  <c:v>100.863934379871</c:v>
                </c:pt>
                <c:pt idx="22">
                  <c:v>98.309048223717554</c:v>
                </c:pt>
                <c:pt idx="23">
                  <c:v>94.993386586462648</c:v>
                </c:pt>
                <c:pt idx="24">
                  <c:v>101.74291539071565</c:v>
                </c:pt>
                <c:pt idx="25">
                  <c:v>100.72793120666999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8AD-4C04-8966-6DBDA0898BCD}"/>
            </c:ext>
          </c:extLst>
        </c:ser>
        <c:ser>
          <c:idx val="3"/>
          <c:order val="3"/>
          <c:tx>
            <c:strRef>
              <c:f>'VBP completo'!$A$31</c:f>
              <c:strCache>
                <c:ptCount val="1"/>
                <c:pt idx="0">
                  <c:v>Leite</c:v>
                </c:pt>
              </c:strCache>
            </c:strRef>
          </c:tx>
          <c:spPr>
            <a:ln w="50800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triangle"/>
            <c:size val="6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25400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dLbls>
            <c:dLbl>
              <c:idx val="0"/>
              <c:layout>
                <c:manualLayout>
                  <c:x val="-2.861423698555899E-2"/>
                  <c:y val="-2.195062155692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8AD-4C04-8966-6DBDA0898BCD}"/>
                </c:ext>
              </c:extLst>
            </c:dLbl>
            <c:dLbl>
              <c:idx val="1"/>
              <c:layout>
                <c:manualLayout>
                  <c:x val="-2.6927327403912567E-2"/>
                  <c:y val="-2.92766288829280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8AD-4C04-8966-6DBDA0898BCD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completo'!$M$31:$AL$31</c:f>
              <c:numCache>
                <c:formatCode>#,##0.00</c:formatCode>
                <c:ptCount val="26"/>
                <c:pt idx="0">
                  <c:v>23.506004772624021</c:v>
                </c:pt>
                <c:pt idx="1">
                  <c:v>22.619388312423062</c:v>
                </c:pt>
                <c:pt idx="2">
                  <c:v>22.903955172160273</c:v>
                </c:pt>
                <c:pt idx="3">
                  <c:v>25.222205303257795</c:v>
                </c:pt>
                <c:pt idx="4">
                  <c:v>25.778318675968983</c:v>
                </c:pt>
                <c:pt idx="5">
                  <c:v>28.993308389587288</c:v>
                </c:pt>
                <c:pt idx="6">
                  <c:v>27.693586215852172</c:v>
                </c:pt>
                <c:pt idx="7">
                  <c:v>34.045117113001417</c:v>
                </c:pt>
                <c:pt idx="8">
                  <c:v>38.298841622201735</c:v>
                </c:pt>
                <c:pt idx="9">
                  <c:v>39.0460903345719</c:v>
                </c:pt>
                <c:pt idx="10">
                  <c:v>43.120923503504393</c:v>
                </c:pt>
                <c:pt idx="11">
                  <c:v>44.452567010604731</c:v>
                </c:pt>
                <c:pt idx="12">
                  <c:v>46.451214966591913</c:v>
                </c:pt>
                <c:pt idx="13">
                  <c:v>53.753237096424137</c:v>
                </c:pt>
                <c:pt idx="14">
                  <c:v>58.046317312277473</c:v>
                </c:pt>
                <c:pt idx="15">
                  <c:v>52.396723866428815</c:v>
                </c:pt>
                <c:pt idx="16">
                  <c:v>48.618153993156199</c:v>
                </c:pt>
                <c:pt idx="17">
                  <c:v>54.17063206228098</c:v>
                </c:pt>
                <c:pt idx="18">
                  <c:v>53.365433452279042</c:v>
                </c:pt>
                <c:pt idx="19">
                  <c:v>52.870881219315869</c:v>
                </c:pt>
                <c:pt idx="20">
                  <c:v>54.358628119395576</c:v>
                </c:pt>
                <c:pt idx="21">
                  <c:v>54.418585311700078</c:v>
                </c:pt>
                <c:pt idx="22">
                  <c:v>59.414168679397051</c:v>
                </c:pt>
                <c:pt idx="23">
                  <c:v>66.811403073090318</c:v>
                </c:pt>
                <c:pt idx="24">
                  <c:v>65.844332947789113</c:v>
                </c:pt>
                <c:pt idx="25">
                  <c:v>69.052627777777772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AD-4C04-8966-6DBDA0898BCD}"/>
            </c:ext>
          </c:extLst>
        </c:ser>
        <c:ser>
          <c:idx val="4"/>
          <c:order val="4"/>
          <c:tx>
            <c:strRef>
              <c:f>'VBP completo'!$A$32</c:f>
              <c:strCache>
                <c:ptCount val="1"/>
                <c:pt idx="0">
                  <c:v>Ovos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5611537930228349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8AD-4C04-8966-6DBDA0898BCD}"/>
                </c:ext>
              </c:extLst>
            </c:dLbl>
            <c:dLbl>
              <c:idx val="1"/>
              <c:layout>
                <c:manualLayout>
                  <c:x val="-2.3924628348581934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8AD-4C04-8966-6DBDA0898BCD}"/>
                </c:ext>
              </c:extLst>
            </c:dLbl>
            <c:dLbl>
              <c:idx val="2"/>
              <c:layout>
                <c:manualLayout>
                  <c:x val="-2.3924628348581934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8AD-4C04-8966-6DBDA0898BCD}"/>
                </c:ext>
              </c:extLst>
            </c:dLbl>
            <c:dLbl>
              <c:idx val="3"/>
              <c:layout>
                <c:manualLayout>
                  <c:x val="-2.3924628348581934E-2"/>
                  <c:y val="3.11081307144299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8AD-4C04-8966-6DBDA0898BCD}"/>
                </c:ext>
              </c:extLst>
            </c:dLbl>
            <c:dLbl>
              <c:idx val="4"/>
              <c:layout>
                <c:manualLayout>
                  <c:x val="-3.0009918710900054E-2"/>
                  <c:y val="2.088738805441618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4982185108634817E-2"/>
                      <c:h val="5.61662621281088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18AD-4C04-8966-6DBDA0898BCD}"/>
                </c:ext>
              </c:extLst>
            </c:dLbl>
            <c:dLbl>
              <c:idx val="5"/>
              <c:layout>
                <c:manualLayout>
                  <c:x val="-2.5611537930228419E-2"/>
                  <c:y val="2.744512705142626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8AD-4C04-8966-6DBDA0898BCD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7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'VBP completo'!$M$3:$AL$3</c:f>
              <c:strCach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2024**</c:v>
                </c:pt>
                <c:pt idx="25">
                  <c:v>2025***</c:v>
                </c:pt>
              </c:strCache>
            </c:strRef>
          </c:cat>
          <c:val>
            <c:numRef>
              <c:f>'VBP completo'!$M$32:$AL$32</c:f>
              <c:numCache>
                <c:formatCode>#,##0.00</c:formatCode>
                <c:ptCount val="26"/>
                <c:pt idx="0">
                  <c:v>9.1907017941895326</c:v>
                </c:pt>
                <c:pt idx="1">
                  <c:v>9.056681492204973</c:v>
                </c:pt>
                <c:pt idx="2">
                  <c:v>9.3309061802053481</c:v>
                </c:pt>
                <c:pt idx="3">
                  <c:v>11.286838679931167</c:v>
                </c:pt>
                <c:pt idx="4">
                  <c:v>11.43934087250037</c:v>
                </c:pt>
                <c:pt idx="5">
                  <c:v>11.517106155101759</c:v>
                </c:pt>
                <c:pt idx="6">
                  <c:v>10.940087069659805</c:v>
                </c:pt>
                <c:pt idx="7">
                  <c:v>11.627002100897078</c:v>
                </c:pt>
                <c:pt idx="8">
                  <c:v>12.551094949308588</c:v>
                </c:pt>
                <c:pt idx="9">
                  <c:v>12.520231830924656</c:v>
                </c:pt>
                <c:pt idx="10">
                  <c:v>12.177346973505689</c:v>
                </c:pt>
                <c:pt idx="11">
                  <c:v>14.349037159044494</c:v>
                </c:pt>
                <c:pt idx="12">
                  <c:v>16.820586095813649</c:v>
                </c:pt>
                <c:pt idx="13">
                  <c:v>19.783181059893383</c:v>
                </c:pt>
                <c:pt idx="14">
                  <c:v>22.227179797093235</c:v>
                </c:pt>
                <c:pt idx="15">
                  <c:v>22.631141390400938</c:v>
                </c:pt>
                <c:pt idx="16">
                  <c:v>24.398535665223228</c:v>
                </c:pt>
                <c:pt idx="17">
                  <c:v>20.106353962512447</c:v>
                </c:pt>
                <c:pt idx="18">
                  <c:v>18.289838122343923</c:v>
                </c:pt>
                <c:pt idx="19">
                  <c:v>18.520729606449947</c:v>
                </c:pt>
                <c:pt idx="20">
                  <c:v>20.339449102799055</c:v>
                </c:pt>
                <c:pt idx="21">
                  <c:v>19.060159590798705</c:v>
                </c:pt>
                <c:pt idx="22">
                  <c:v>21.147850675966328</c:v>
                </c:pt>
                <c:pt idx="23">
                  <c:v>26.058686309546474</c:v>
                </c:pt>
                <c:pt idx="24">
                  <c:v>25.42911991515189</c:v>
                </c:pt>
                <c:pt idx="25">
                  <c:v>22.045251705880951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8AD-4C04-8966-6DBDA0898BC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28914328"/>
        <c:axId val="923820376"/>
      </c:lineChart>
      <c:catAx>
        <c:axId val="928914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pt-BR"/>
                  <a:t>Fonte: CGPOP/DAEP/SPA/MAPA.</a:t>
                </a:r>
              </a:p>
            </c:rich>
          </c:tx>
          <c:layout>
            <c:manualLayout>
              <c:xMode val="edge"/>
              <c:yMode val="edge"/>
              <c:x val="5.2369377410819602E-2"/>
              <c:y val="0.934444059877130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923820376"/>
        <c:crosses val="autoZero"/>
        <c:auto val="1"/>
        <c:lblAlgn val="ctr"/>
        <c:lblOffset val="100"/>
        <c:noMultiLvlLbl val="0"/>
      </c:catAx>
      <c:valAx>
        <c:axId val="923820376"/>
        <c:scaling>
          <c:orientation val="minMax"/>
          <c:max val="2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Bilhões R$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928914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7495962043206135E-2"/>
          <c:y val="0.15796660032880505"/>
          <c:w val="0.52955585131818039"/>
          <c:h val="7.06801072942805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cap="all" baseline="0">
                <a:effectLst/>
              </a:rPr>
              <a:t>Indice do Produto de Lavouras</a:t>
            </a:r>
            <a:endParaRPr lang="pt-BR" sz="1600">
              <a:effectLst/>
            </a:endParaRPr>
          </a:p>
        </c:rich>
      </c:tx>
      <c:layout>
        <c:manualLayout>
          <c:xMode val="edge"/>
          <c:yMode val="edge"/>
          <c:x val="0.18260976207996077"/>
          <c:y val="5.78990901571546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219076092309653"/>
          <c:y val="0.17359404205987899"/>
          <c:w val="0.84082861606979042"/>
          <c:h val="0.61361345030382364"/>
        </c:manualLayout>
      </c:layout>
      <c:lineChart>
        <c:grouping val="standard"/>
        <c:varyColors val="0"/>
        <c:ser>
          <c:idx val="0"/>
          <c:order val="0"/>
          <c:tx>
            <c:strRef>
              <c:f>Laspeyres!$B$4</c:f>
              <c:strCache>
                <c:ptCount val="1"/>
                <c:pt idx="0">
                  <c:v>Indice de Prod. base 1990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5"/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4.2206423976252426E-2"/>
                  <c:y val="-5.92430133578216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70C-45E2-8314-33FD04B4CE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0C-45E2-8314-33FD04B4CE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70C-45E2-8314-33FD04B4CEF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70C-45E2-8314-33FD04B4CEF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70C-45E2-8314-33FD04B4CEFF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70C-45E2-8314-33FD04B4CEFF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70C-45E2-8314-33FD04B4CEFF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70C-45E2-8314-33FD04B4CEFF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70C-45E2-8314-33FD04B4CEFF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70C-45E2-8314-33FD04B4CEFF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70C-45E2-8314-33FD04B4CEFF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70C-45E2-8314-33FD04B4CEFF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70C-45E2-8314-33FD04B4CEFF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70C-45E2-8314-33FD04B4CEFF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70C-45E2-8314-33FD04B4CEFF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70C-45E2-8314-33FD04B4CEFF}"/>
                </c:ext>
              </c:extLst>
            </c:dLbl>
            <c:dLbl>
              <c:idx val="1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70C-45E2-8314-33FD04B4CEFF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70C-45E2-8314-33FD04B4CEFF}"/>
                </c:ext>
              </c:extLst>
            </c:dLbl>
            <c:dLbl>
              <c:idx val="1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70C-45E2-8314-33FD04B4CEFF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70C-45E2-8314-33FD04B4CEFF}"/>
                </c:ext>
              </c:extLst>
            </c:dLbl>
            <c:dLbl>
              <c:idx val="2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70C-45E2-8314-33FD04B4CEFF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70C-45E2-8314-33FD04B4CEFF}"/>
                </c:ext>
              </c:extLst>
            </c:dLbl>
            <c:dLbl>
              <c:idx val="2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70C-45E2-8314-33FD04B4CEFF}"/>
                </c:ext>
              </c:extLst>
            </c:dLbl>
            <c:dLbl>
              <c:idx val="2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70C-45E2-8314-33FD04B4CEFF}"/>
                </c:ext>
              </c:extLst>
            </c:dLbl>
            <c:dLbl>
              <c:idx val="2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70C-45E2-8314-33FD04B4CEFF}"/>
                </c:ext>
              </c:extLst>
            </c:dLbl>
            <c:dLbl>
              <c:idx val="2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70C-45E2-8314-33FD04B4CEFF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70C-45E2-8314-33FD04B4CEFF}"/>
                </c:ext>
              </c:extLst>
            </c:dLbl>
            <c:dLbl>
              <c:idx val="2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70C-45E2-8314-33FD04B4CEFF}"/>
                </c:ext>
              </c:extLst>
            </c:dLbl>
            <c:dLbl>
              <c:idx val="2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E7C-4338-BF65-7805A681C6F0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21-4DEE-868E-379CC6E241DD}"/>
                </c:ext>
              </c:extLst>
            </c:dLbl>
            <c:dLbl>
              <c:idx val="3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E04-491D-BBF4-2AB38BB99FD8}"/>
                </c:ext>
              </c:extLst>
            </c:dLbl>
            <c:dLbl>
              <c:idx val="3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E04-491D-BBF4-2AB38BB99FD8}"/>
                </c:ext>
              </c:extLst>
            </c:dLbl>
            <c:dLbl>
              <c:idx val="3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18-4CAA-8FFC-D699DE7987CA}"/>
                </c:ext>
              </c:extLst>
            </c:dLbl>
            <c:dLbl>
              <c:idx val="3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18-4CAA-8FFC-D699DE7987CA}"/>
                </c:ext>
              </c:extLst>
            </c:dLbl>
            <c:dLbl>
              <c:idx val="34"/>
              <c:layout>
                <c:manualLayout>
                  <c:x val="-5.0374346547539346E-3"/>
                  <c:y val="-6.13531149262589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3B6-4233-91C4-7A82EFE06340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Laspeyres!$A$5:$A$39</c:f>
              <c:numCache>
                <c:formatCode>General</c:formatCod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numCache>
            </c:numRef>
          </c:cat>
          <c:val>
            <c:numRef>
              <c:f>Laspeyres!$B$5:$B$39</c:f>
              <c:numCache>
                <c:formatCode>#,##0.00</c:formatCode>
                <c:ptCount val="35"/>
                <c:pt idx="0">
                  <c:v>100</c:v>
                </c:pt>
                <c:pt idx="1">
                  <c:v>100.27530507723812</c:v>
                </c:pt>
                <c:pt idx="2">
                  <c:v>106.20337614689583</c:v>
                </c:pt>
                <c:pt idx="3">
                  <c:v>104.57013107177708</c:v>
                </c:pt>
                <c:pt idx="4">
                  <c:v>114.16378114998278</c:v>
                </c:pt>
                <c:pt idx="5">
                  <c:v>115.0243365219558</c:v>
                </c:pt>
                <c:pt idx="6">
                  <c:v>106.55186735424465</c:v>
                </c:pt>
                <c:pt idx="7">
                  <c:v>114.03726174297621</c:v>
                </c:pt>
                <c:pt idx="8">
                  <c:v>117.31915303619954</c:v>
                </c:pt>
                <c:pt idx="9">
                  <c:v>124.73428473228039</c:v>
                </c:pt>
                <c:pt idx="10">
                  <c:v>128.2930427050309</c:v>
                </c:pt>
                <c:pt idx="11">
                  <c:v>136.97467822597082</c:v>
                </c:pt>
                <c:pt idx="12">
                  <c:v>139.51013982605832</c:v>
                </c:pt>
                <c:pt idx="13">
                  <c:v>153.86772745036896</c:v>
                </c:pt>
                <c:pt idx="14">
                  <c:v>159.64137908018984</c:v>
                </c:pt>
                <c:pt idx="15">
                  <c:v>157.13592812127436</c:v>
                </c:pt>
                <c:pt idx="16">
                  <c:v>164.85795860548876</c:v>
                </c:pt>
                <c:pt idx="17">
                  <c:v>180.78064006776765</c:v>
                </c:pt>
                <c:pt idx="18">
                  <c:v>196.90957977720942</c:v>
                </c:pt>
                <c:pt idx="19">
                  <c:v>190.30947676981953</c:v>
                </c:pt>
                <c:pt idx="20">
                  <c:v>203.58132140625628</c:v>
                </c:pt>
                <c:pt idx="21">
                  <c:v>217.04060018402259</c:v>
                </c:pt>
                <c:pt idx="22">
                  <c:v>210.93205316011404</c:v>
                </c:pt>
                <c:pt idx="23">
                  <c:v>228.00911847668428</c:v>
                </c:pt>
                <c:pt idx="24">
                  <c:v>232.56171197227314</c:v>
                </c:pt>
                <c:pt idx="25">
                  <c:v>242.31800918291268</c:v>
                </c:pt>
                <c:pt idx="26">
                  <c:v>228.23864268484809</c:v>
                </c:pt>
                <c:pt idx="27">
                  <c:v>253.8258521235316</c:v>
                </c:pt>
                <c:pt idx="28">
                  <c:v>245.13449547955108</c:v>
                </c:pt>
                <c:pt idx="29">
                  <c:v>248.61895382494558</c:v>
                </c:pt>
                <c:pt idx="30">
                  <c:v>258.84777688038417</c:v>
                </c:pt>
                <c:pt idx="31">
                  <c:v>254.98782385273259</c:v>
                </c:pt>
                <c:pt idx="32">
                  <c:v>256.90396455429726</c:v>
                </c:pt>
                <c:pt idx="33">
                  <c:v>298.2714335326695</c:v>
                </c:pt>
                <c:pt idx="34">
                  <c:v>284.83170946973451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70C-45E2-8314-33FD04B4CEF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923821552"/>
        <c:axId val="923819200"/>
      </c:lineChart>
      <c:catAx>
        <c:axId val="923821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sz="1000" b="0" i="0" baseline="0">
                    <a:effectLst/>
                  </a:rPr>
                  <a:t>Fonte:  IBGE. Elaboração: CGPOP/DAEP/SPA/MAPA.</a:t>
                </a:r>
                <a:endParaRPr lang="pt-BR" sz="1000" b="0">
                  <a:effectLst/>
                </a:endParaRPr>
              </a:p>
            </c:rich>
          </c:tx>
          <c:layout>
            <c:manualLayout>
              <c:xMode val="edge"/>
              <c:yMode val="edge"/>
              <c:x val="0.10462861568352522"/>
              <c:y val="0.9214226633581472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19200"/>
        <c:crosses val="autoZero"/>
        <c:auto val="1"/>
        <c:lblAlgn val="ctr"/>
        <c:lblOffset val="100"/>
        <c:tickLblSkip val="1"/>
        <c:noMultiLvlLbl val="0"/>
      </c:catAx>
      <c:valAx>
        <c:axId val="92381920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%</a:t>
                </a:r>
              </a:p>
            </c:rich>
          </c:tx>
          <c:layout>
            <c:manualLayout>
              <c:xMode val="edge"/>
              <c:yMode val="edge"/>
              <c:x val="2.0554329163600685E-2"/>
              <c:y val="0.458564376103111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382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5"/>
    </a:solidFill>
    <a:ln w="9525" cap="flat" cmpd="sng" algn="ctr">
      <a:solidFill>
        <a:schemeClr val="accent5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pt-BR" b="1"/>
              <a:t>VBP AGROPECUÁRIA - BRASIL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2120297462817132E-2"/>
          <c:y val="0.22645753996124757"/>
          <c:w val="0.8962055789537936"/>
          <c:h val="0.617325092427962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'VBP completo'!$AJ$3</c:f>
              <c:strCache>
                <c:ptCount val="1"/>
                <c:pt idx="0">
                  <c:v>2023</c:v>
                </c:pt>
              </c:strCache>
            </c:strRef>
          </c:tx>
          <c:spPr>
            <a:pattFill prst="dkDnDiag">
              <a:fgClr>
                <a:srgbClr val="00B050"/>
              </a:fgClr>
              <a:bgClr>
                <a:schemeClr val="bg1"/>
              </a:bgClr>
            </a:pattFill>
            <a:ln>
              <a:solidFill>
                <a:srgbClr val="00B05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completo'!$AJ$27,'VBP completo'!$AJ$33:$AJ$34)</c:f>
              <c:numCache>
                <c:formatCode>#,##0.00</c:formatCode>
                <c:ptCount val="3"/>
                <c:pt idx="0">
                  <c:v>857.67188767851314</c:v>
                </c:pt>
                <c:pt idx="1">
                  <c:v>384.19456886818028</c:v>
                </c:pt>
                <c:pt idx="2">
                  <c:v>1241.8664565466934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B7-45B6-A473-822D44588A34}"/>
            </c:ext>
          </c:extLst>
        </c:ser>
        <c:ser>
          <c:idx val="1"/>
          <c:order val="1"/>
          <c:tx>
            <c:strRef>
              <c:f>'VBP completo'!$AK$3</c:f>
              <c:strCache>
                <c:ptCount val="1"/>
                <c:pt idx="0">
                  <c:v>2024**</c:v>
                </c:pt>
              </c:strCache>
            </c:strRef>
          </c:tx>
          <c:spPr>
            <a:solidFill>
              <a:srgbClr val="FF66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completo'!$AK$27,'VBP completo'!$AK$33:$AK$34)</c:f>
              <c:numCache>
                <c:formatCode>#,##0.00</c:formatCode>
                <c:ptCount val="3"/>
                <c:pt idx="0">
                  <c:v>820.19549746327743</c:v>
                </c:pt>
                <c:pt idx="1">
                  <c:v>397.47358129606749</c:v>
                </c:pt>
                <c:pt idx="2">
                  <c:v>1217.669078759345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B22-4148-947B-75B4A4F4C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10"/>
        <c:axId val="737294008"/>
        <c:axId val="737293680"/>
      </c:barChart>
      <c:lineChart>
        <c:grouping val="standard"/>
        <c:varyColors val="0"/>
        <c:ser>
          <c:idx val="2"/>
          <c:order val="2"/>
          <c:tx>
            <c:strRef>
              <c:f>'VBP completo'!$AN$3</c:f>
              <c:strCache>
                <c:ptCount val="1"/>
                <c:pt idx="0">
                  <c:v>% 2024/2023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05"/>
                  <c:y val="-0.4482294935006723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4E-435F-AC37-0A744D1F6B44}"/>
                </c:ext>
              </c:extLst>
            </c:dLbl>
            <c:dLbl>
              <c:idx val="1"/>
              <c:layout>
                <c:manualLayout>
                  <c:x val="-0.05"/>
                  <c:y val="-0.2599731062303900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4E-435F-AC37-0A744D1F6B44}"/>
                </c:ext>
              </c:extLst>
            </c:dLbl>
            <c:dLbl>
              <c:idx val="2"/>
              <c:layout>
                <c:manualLayout>
                  <c:x val="-4.7222222222222325E-2"/>
                  <c:y val="-0.573733751680860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4E-435F-AC37-0A744D1F6B44}"/>
                </c:ext>
              </c:extLst>
            </c:dLbl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('VBP completo'!$A$27,'VBP completo'!$A$33:$A$34)</c:f>
              <c:strCache>
                <c:ptCount val="3"/>
                <c:pt idx="0">
                  <c:v>TOTAL LAVOURAS</c:v>
                </c:pt>
                <c:pt idx="1">
                  <c:v>TOTAL PECUÁRIA</c:v>
                </c:pt>
                <c:pt idx="2">
                  <c:v>VBP TOTAL</c:v>
                </c:pt>
              </c:strCache>
            </c:strRef>
          </c:cat>
          <c:val>
            <c:numRef>
              <c:f>('VBP completo'!$AN$27,'VBP completo'!$AN$33:$AN$34)</c:f>
              <c:numCache>
                <c:formatCode>0.0%</c:formatCode>
                <c:ptCount val="3"/>
                <c:pt idx="0">
                  <c:v>-4.3695486296833397E-2</c:v>
                </c:pt>
                <c:pt idx="1">
                  <c:v>3.4563248686743764E-2</c:v>
                </c:pt>
                <c:pt idx="2">
                  <c:v>-1.9484685861179463E-2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B22-4148-947B-75B4A4F4CA7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86206048"/>
        <c:axId val="1086210640"/>
      </c:lineChart>
      <c:catAx>
        <c:axId val="7372940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 sz="800" b="0" i="0" u="none" strike="noStrike" baseline="0">
                    <a:effectLst/>
                  </a:rPr>
                  <a:t>Fonte: </a:t>
                </a:r>
                <a:r>
                  <a:rPr lang="pt-BR" sz="800" b="0" i="0" u="none" strike="noStrike" baseline="0">
                    <a:effectLst/>
                  </a:rPr>
                  <a:t>: CGPOP/DAEP/SPA/MAPA</a:t>
                </a:r>
              </a:p>
            </c:rich>
          </c:tx>
          <c:layout>
            <c:manualLayout>
              <c:xMode val="edge"/>
              <c:yMode val="edge"/>
              <c:x val="8.4768362739906969E-2"/>
              <c:y val="0.9226172735119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737293680"/>
        <c:crosses val="autoZero"/>
        <c:auto val="1"/>
        <c:lblAlgn val="ctr"/>
        <c:lblOffset val="100"/>
        <c:noMultiLvlLbl val="0"/>
      </c:catAx>
      <c:valAx>
        <c:axId val="737293680"/>
        <c:scaling>
          <c:orientation val="minMax"/>
          <c:max val="160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r>
                  <a:rPr lang="en-US"/>
                  <a:t>bilhões R$</a:t>
                </a:r>
              </a:p>
            </c:rich>
          </c:tx>
          <c:layout>
            <c:manualLayout>
              <c:xMode val="edge"/>
              <c:yMode val="edge"/>
              <c:x val="1.8604651162790697E-2"/>
              <c:y val="0.319866051226355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</c:title>
        <c:numFmt formatCode="#,##0.00" sourceLinked="1"/>
        <c:majorTickMark val="out"/>
        <c:minorTickMark val="none"/>
        <c:tickLblPos val="nextTo"/>
        <c:crossAx val="737294008"/>
        <c:crosses val="autoZero"/>
        <c:crossBetween val="between"/>
      </c:valAx>
      <c:valAx>
        <c:axId val="1086210640"/>
        <c:scaling>
          <c:orientation val="minMax"/>
        </c:scaling>
        <c:delete val="1"/>
        <c:axPos val="r"/>
        <c:numFmt formatCode="0.0%" sourceLinked="1"/>
        <c:majorTickMark val="out"/>
        <c:minorTickMark val="none"/>
        <c:tickLblPos val="nextTo"/>
        <c:crossAx val="1086206048"/>
        <c:crosses val="max"/>
        <c:crossBetween val="between"/>
      </c:valAx>
      <c:catAx>
        <c:axId val="1086206048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086210640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84076990376203"/>
          <c:y val="0.12222583001867035"/>
          <c:w val="0.52848098638832941"/>
          <c:h val="9.11889462093100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  <a:latin typeface="Segoe UI" panose="020B0502040204020203" pitchFamily="34" charset="0"/>
          <a:cs typeface="Segoe UI" panose="020B0502040204020203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VBP completo'!A1"/><Relationship Id="rId7" Type="http://schemas.openxmlformats.org/officeDocument/2006/relationships/hyperlink" Target="#Varia&#231;&#227;o!A1"/><Relationship Id="rId2" Type="http://schemas.openxmlformats.org/officeDocument/2006/relationships/hyperlink" Target="#VBP!A1"/><Relationship Id="rId1" Type="http://schemas.openxmlformats.org/officeDocument/2006/relationships/image" Target="../media/image1.jpeg"/><Relationship Id="rId6" Type="http://schemas.openxmlformats.org/officeDocument/2006/relationships/hyperlink" Target="#Laspeyres!A1"/><Relationship Id="rId5" Type="http://schemas.openxmlformats.org/officeDocument/2006/relationships/hyperlink" Target="#'VBP Completo Nominal'!A1"/><Relationship Id="rId4" Type="http://schemas.openxmlformats.org/officeDocument/2006/relationships/hyperlink" Target="#'Ranking 2024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CAPA!A1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CAPA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CAPA!A1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379095</xdr:colOff>
      <xdr:row>6</xdr:row>
      <xdr:rowOff>36195</xdr:rowOff>
    </xdr:from>
    <xdr:to>
      <xdr:col>3</xdr:col>
      <xdr:colOff>493395</xdr:colOff>
      <xdr:row>7</xdr:row>
      <xdr:rowOff>121920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988695" y="1483995"/>
          <a:ext cx="1333500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r>
            <a:rPr lang="pt-BR" sz="1100" b="1"/>
            <a:t>mês/2020</a:t>
          </a:r>
        </a:p>
      </xdr:txBody>
    </xdr:sp>
    <xdr:clientData/>
  </xdr:twoCellAnchor>
  <xdr:twoCellAnchor>
    <xdr:from>
      <xdr:col>0</xdr:col>
      <xdr:colOff>409576</xdr:colOff>
      <xdr:row>1</xdr:row>
      <xdr:rowOff>123826</xdr:rowOff>
    </xdr:from>
    <xdr:to>
      <xdr:col>10</xdr:col>
      <xdr:colOff>561976</xdr:colOff>
      <xdr:row>26</xdr:row>
      <xdr:rowOff>19051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09576" y="666751"/>
          <a:ext cx="6248400" cy="4419600"/>
        </a:xfrm>
        <a:prstGeom prst="rect">
          <a:avLst/>
        </a:prstGeom>
        <a:gradFill flip="none" rotWithShape="1"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  <a:tileRect/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ln>
              <a:solidFill>
                <a:srgbClr val="001848"/>
              </a:solidFill>
            </a:ln>
          </a:endParaRPr>
        </a:p>
      </xdr:txBody>
    </xdr:sp>
    <xdr:clientData/>
  </xdr:twoCellAnchor>
  <xdr:twoCellAnchor editAs="oneCell">
    <xdr:from>
      <xdr:col>0</xdr:col>
      <xdr:colOff>546758</xdr:colOff>
      <xdr:row>2</xdr:row>
      <xdr:rowOff>107022</xdr:rowOff>
    </xdr:from>
    <xdr:to>
      <xdr:col>10</xdr:col>
      <xdr:colOff>420794</xdr:colOff>
      <xdr:row>25</xdr:row>
      <xdr:rowOff>19050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758" y="830922"/>
          <a:ext cx="5970036" cy="4074453"/>
        </a:xfrm>
        <a:prstGeom prst="rect">
          <a:avLst/>
        </a:prstGeom>
      </xdr:spPr>
    </xdr:pic>
    <xdr:clientData/>
  </xdr:twoCellAnchor>
  <xdr:twoCellAnchor>
    <xdr:from>
      <xdr:col>1</xdr:col>
      <xdr:colOff>426827</xdr:colOff>
      <xdr:row>7</xdr:row>
      <xdr:rowOff>74573</xdr:rowOff>
    </xdr:from>
    <xdr:to>
      <xdr:col>3</xdr:col>
      <xdr:colOff>541127</xdr:colOff>
      <xdr:row>8</xdr:row>
      <xdr:rowOff>179348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 txBox="1"/>
      </xdr:nvSpPr>
      <xdr:spPr>
        <a:xfrm>
          <a:off x="1036427" y="1703348"/>
          <a:ext cx="1333500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>
              <a:latin typeface="Segoe UI" panose="020B0502040204020203" pitchFamily="34" charset="0"/>
              <a:cs typeface="Segoe UI" panose="020B0502040204020203" pitchFamily="34" charset="0"/>
            </a:rPr>
            <a:t>outubro/2024</a:t>
          </a:r>
        </a:p>
      </xdr:txBody>
    </xdr:sp>
    <xdr:clientData/>
  </xdr:twoCellAnchor>
  <xdr:twoCellAnchor>
    <xdr:from>
      <xdr:col>11</xdr:col>
      <xdr:colOff>318359</xdr:colOff>
      <xdr:row>7</xdr:row>
      <xdr:rowOff>17145</xdr:rowOff>
    </xdr:from>
    <xdr:to>
      <xdr:col>14</xdr:col>
      <xdr:colOff>64757</xdr:colOff>
      <xdr:row>9</xdr:row>
      <xdr:rowOff>26670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7023959" y="1283970"/>
          <a:ext cx="1308498" cy="37147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VBP Brasil</a:t>
          </a:r>
          <a:endParaRPr lang="pt-BR" sz="1600" b="1" u="none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175087</xdr:colOff>
      <xdr:row>7</xdr:row>
      <xdr:rowOff>12382</xdr:rowOff>
    </xdr:from>
    <xdr:to>
      <xdr:col>17</xdr:col>
      <xdr:colOff>322330</xdr:colOff>
      <xdr:row>9</xdr:row>
      <xdr:rowOff>31432</xdr:rowOff>
    </xdr:to>
    <xdr:sp macro="" textlink="">
      <xdr:nvSpPr>
        <xdr:cNvPr id="15" name="Retângulo: Cantos Arredondados 1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8442787" y="1279207"/>
          <a:ext cx="1976043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VBP Completo Real</a:t>
          </a:r>
        </a:p>
      </xdr:txBody>
    </xdr:sp>
    <xdr:clientData/>
  </xdr:twoCellAnchor>
  <xdr:twoCellAnchor>
    <xdr:from>
      <xdr:col>13</xdr:col>
      <xdr:colOff>424921</xdr:colOff>
      <xdr:row>15</xdr:row>
      <xdr:rowOff>66675</xdr:rowOff>
    </xdr:from>
    <xdr:to>
      <xdr:col>15</xdr:col>
      <xdr:colOff>491596</xdr:colOff>
      <xdr:row>17</xdr:row>
      <xdr:rowOff>71350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8083021" y="2781300"/>
          <a:ext cx="1285875" cy="36662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Ranking </a:t>
          </a:r>
        </a:p>
      </xdr:txBody>
    </xdr:sp>
    <xdr:clientData/>
  </xdr:twoCellAnchor>
  <xdr:twoCellAnchor>
    <xdr:from>
      <xdr:col>11</xdr:col>
      <xdr:colOff>211667</xdr:colOff>
      <xdr:row>3</xdr:row>
      <xdr:rowOff>69849</xdr:rowOff>
    </xdr:from>
    <xdr:to>
      <xdr:col>17</xdr:col>
      <xdr:colOff>276225</xdr:colOff>
      <xdr:row>5</xdr:row>
      <xdr:rowOff>152400</xdr:rowOff>
    </xdr:to>
    <xdr:sp macro="" textlink="">
      <xdr:nvSpPr>
        <xdr:cNvPr id="17" name="Retângulo: Cantos Arredondados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917267" y="612774"/>
          <a:ext cx="3455458" cy="444501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chemeClr val="accent3">
                <a:lumMod val="89000"/>
              </a:schemeClr>
            </a:gs>
            <a:gs pos="23000">
              <a:schemeClr val="accent3">
                <a:lumMod val="89000"/>
              </a:schemeClr>
            </a:gs>
            <a:gs pos="69000">
              <a:schemeClr val="accent3">
                <a:lumMod val="75000"/>
              </a:schemeClr>
            </a:gs>
            <a:gs pos="97000">
              <a:schemeClr val="accent3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VBP BRASIL - Selecione</a:t>
          </a:r>
          <a:endParaRPr lang="pt-BR" sz="18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200025</xdr:colOff>
      <xdr:row>12</xdr:row>
      <xdr:rowOff>108903</xdr:rowOff>
    </xdr:from>
    <xdr:to>
      <xdr:col>17</xdr:col>
      <xdr:colOff>112780</xdr:colOff>
      <xdr:row>14</xdr:row>
      <xdr:rowOff>127953</xdr:rowOff>
    </xdr:to>
    <xdr:sp macro="" textlink="">
      <xdr:nvSpPr>
        <xdr:cNvPr id="18" name="Retângulo: Cantos Arredondados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7248525" y="2280603"/>
          <a:ext cx="2960755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VBP Completo Nominal </a:t>
          </a:r>
        </a:p>
      </xdr:txBody>
    </xdr:sp>
    <xdr:clientData/>
  </xdr:twoCellAnchor>
  <xdr:twoCellAnchor>
    <xdr:from>
      <xdr:col>11</xdr:col>
      <xdr:colOff>318359</xdr:colOff>
      <xdr:row>9</xdr:row>
      <xdr:rowOff>153512</xdr:rowOff>
    </xdr:from>
    <xdr:to>
      <xdr:col>14</xdr:col>
      <xdr:colOff>64757</xdr:colOff>
      <xdr:row>11</xdr:row>
      <xdr:rowOff>163037</xdr:rowOff>
    </xdr:to>
    <xdr:sp macro="" textlink="">
      <xdr:nvSpPr>
        <xdr:cNvPr id="19" name="Retângulo: Cantos Arredondados 1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7023959" y="1782287"/>
          <a:ext cx="1308498" cy="371475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u="none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</a:rPr>
            <a:t>Laspeyres</a:t>
          </a:r>
          <a:endParaRPr lang="pt-BR" sz="1600" b="1" u="none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14</xdr:col>
      <xdr:colOff>175087</xdr:colOff>
      <xdr:row>9</xdr:row>
      <xdr:rowOff>151130</xdr:rowOff>
    </xdr:from>
    <xdr:to>
      <xdr:col>17</xdr:col>
      <xdr:colOff>322330</xdr:colOff>
      <xdr:row>11</xdr:row>
      <xdr:rowOff>170180</xdr:rowOff>
    </xdr:to>
    <xdr:sp macro="" textlink="">
      <xdr:nvSpPr>
        <xdr:cNvPr id="20" name="Retângulo: Cantos Arredondados 1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8442787" y="1779905"/>
          <a:ext cx="1976043" cy="381000"/>
        </a:xfrm>
        <a:prstGeom prst="roundRect">
          <a:avLst>
            <a:gd name="adj" fmla="val 50000"/>
          </a:avLst>
        </a:prstGeom>
        <a:gradFill>
          <a:gsLst>
            <a:gs pos="0">
              <a:schemeClr val="accent3">
                <a:lumMod val="0"/>
                <a:lumOff val="100000"/>
              </a:schemeClr>
            </a:gs>
            <a:gs pos="35000">
              <a:schemeClr val="accent3">
                <a:lumMod val="0"/>
                <a:lumOff val="100000"/>
              </a:schemeClr>
            </a:gs>
            <a:gs pos="100000">
              <a:schemeClr val="accent3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noFill/>
        </a:ln>
        <a:effectLst>
          <a:outerShdw blurRad="50800" dist="38100" dir="2700000" algn="tl" rotWithShape="0">
            <a:schemeClr val="tx1"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rPr>
            <a:t>Variação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183356</xdr:colOff>
      <xdr:row>2</xdr:row>
      <xdr:rowOff>447674</xdr:rowOff>
    </xdr:from>
    <xdr:to>
      <xdr:col>21</xdr:col>
      <xdr:colOff>304800</xdr:colOff>
      <xdr:row>14</xdr:row>
      <xdr:rowOff>171450</xdr:rowOff>
    </xdr:to>
    <xdr:graphicFrame macro="">
      <xdr:nvGraphicFramePr>
        <xdr:cNvPr id="4" name="Gráfic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217170</xdr:colOff>
      <xdr:row>15</xdr:row>
      <xdr:rowOff>106680</xdr:rowOff>
    </xdr:from>
    <xdr:to>
      <xdr:col>21</xdr:col>
      <xdr:colOff>323850</xdr:colOff>
      <xdr:row>27</xdr:row>
      <xdr:rowOff>38100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1279070</xdr:colOff>
      <xdr:row>2</xdr:row>
      <xdr:rowOff>40822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0" y="0"/>
          <a:ext cx="1279070" cy="449036"/>
          <a:chOff x="0" y="0"/>
          <a:chExt cx="1583530" cy="432820"/>
        </a:xfrm>
      </xdr:grpSpPr>
      <xdr:sp macro="" textlink="">
        <xdr:nvSpPr>
          <xdr:cNvPr id="10" name="Seta: para a Esquerda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1" name="Retângulo: Cantos Arredondados 10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27214</xdr:colOff>
      <xdr:row>0</xdr:row>
      <xdr:rowOff>0</xdr:rowOff>
    </xdr:from>
    <xdr:to>
      <xdr:col>0</xdr:col>
      <xdr:colOff>1306284</xdr:colOff>
      <xdr:row>2</xdr:row>
      <xdr:rowOff>13607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pSpPr/>
      </xdr:nvGrpSpPr>
      <xdr:grpSpPr>
        <a:xfrm>
          <a:off x="27214" y="0"/>
          <a:ext cx="1279070" cy="449036"/>
          <a:chOff x="0" y="0"/>
          <a:chExt cx="1583530" cy="432820"/>
        </a:xfrm>
      </xdr:grpSpPr>
      <xdr:sp macro="" textlink="">
        <xdr:nvSpPr>
          <xdr:cNvPr id="6" name="Seta: para a Esquerda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3</xdr:row>
      <xdr:rowOff>7620</xdr:rowOff>
    </xdr:from>
    <xdr:to>
      <xdr:col>11</xdr:col>
      <xdr:colOff>493395</xdr:colOff>
      <xdr:row>15</xdr:row>
      <xdr:rowOff>200025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517072</xdr:colOff>
      <xdr:row>0</xdr:row>
      <xdr:rowOff>81642</xdr:rowOff>
    </xdr:from>
    <xdr:to>
      <xdr:col>7</xdr:col>
      <xdr:colOff>503464</xdr:colOff>
      <xdr:row>2</xdr:row>
      <xdr:rowOff>204106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pSpPr/>
      </xdr:nvGrpSpPr>
      <xdr:grpSpPr>
        <a:xfrm>
          <a:off x="4755697" y="81642"/>
          <a:ext cx="1177017" cy="574902"/>
          <a:chOff x="0" y="0"/>
          <a:chExt cx="1583530" cy="432820"/>
        </a:xfrm>
      </xdr:grpSpPr>
      <xdr:sp macro="" textlink="">
        <xdr:nvSpPr>
          <xdr:cNvPr id="4" name="Seta: para a Esquerda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5"/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5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" name="Retângulo: Cantos Arredondados 4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1279071</xdr:colOff>
      <xdr:row>2</xdr:row>
      <xdr:rowOff>13607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0" y="0"/>
          <a:ext cx="1279071" cy="442232"/>
          <a:chOff x="0" y="0"/>
          <a:chExt cx="1583530" cy="432820"/>
        </a:xfrm>
      </xdr:grpSpPr>
      <xdr:sp macro="" textlink="">
        <xdr:nvSpPr>
          <xdr:cNvPr id="3" name="Seta: para a Esquerda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rgbClr val="EA813A"/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rgbClr val="EA813A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" name="Retângulo: Cantos Arredondados 3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54429</xdr:colOff>
      <xdr:row>0</xdr:row>
      <xdr:rowOff>40822</xdr:rowOff>
    </xdr:from>
    <xdr:to>
      <xdr:col>0</xdr:col>
      <xdr:colOff>1333499</xdr:colOff>
      <xdr:row>1</xdr:row>
      <xdr:rowOff>204108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pSpPr/>
      </xdr:nvGrpSpPr>
      <xdr:grpSpPr>
        <a:xfrm>
          <a:off x="54429" y="40822"/>
          <a:ext cx="1279070" cy="449036"/>
          <a:chOff x="0" y="0"/>
          <a:chExt cx="1583530" cy="432820"/>
        </a:xfrm>
      </xdr:grpSpPr>
      <xdr:sp macro="" textlink="">
        <xdr:nvSpPr>
          <xdr:cNvPr id="6" name="Seta: para a Esquerda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7" name="Retângulo: Cantos Arredondados 6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419099</xdr:colOff>
      <xdr:row>14</xdr:row>
      <xdr:rowOff>228599</xdr:rowOff>
    </xdr:from>
    <xdr:to>
      <xdr:col>9</xdr:col>
      <xdr:colOff>419099</xdr:colOff>
      <xdr:row>26</xdr:row>
      <xdr:rowOff>142874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587830</xdr:colOff>
      <xdr:row>0</xdr:row>
      <xdr:rowOff>0</xdr:rowOff>
    </xdr:from>
    <xdr:to>
      <xdr:col>7</xdr:col>
      <xdr:colOff>0</xdr:colOff>
      <xdr:row>2</xdr:row>
      <xdr:rowOff>0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pSpPr/>
      </xdr:nvGrpSpPr>
      <xdr:grpSpPr>
        <a:xfrm>
          <a:off x="5307997" y="0"/>
          <a:ext cx="1444170" cy="455083"/>
          <a:chOff x="0" y="0"/>
          <a:chExt cx="1583530" cy="432820"/>
        </a:xfrm>
      </xdr:grpSpPr>
      <xdr:sp macro="" textlink="">
        <xdr:nvSpPr>
          <xdr:cNvPr id="9" name="Seta: para a Esquerda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0" y="0"/>
            <a:ext cx="1540733" cy="432820"/>
          </a:xfrm>
          <a:prstGeom prst="leftArrow">
            <a:avLst/>
          </a:prstGeom>
          <a:gradFill flip="none" rotWithShape="1">
            <a:gsLst>
              <a:gs pos="0">
                <a:schemeClr val="accent3">
                  <a:lumMod val="0"/>
                  <a:lumOff val="100000"/>
                </a:schemeClr>
              </a:gs>
              <a:gs pos="35000">
                <a:schemeClr val="accent3">
                  <a:lumMod val="0"/>
                  <a:lumOff val="100000"/>
                </a:schemeClr>
              </a:gs>
              <a:gs pos="100000">
                <a:schemeClr val="accent3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  <a:ln>
            <a:noFill/>
          </a:ln>
          <a:effectLst>
            <a:innerShdw blurRad="114300">
              <a:schemeClr val="accent3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endParaRPr lang="pt-BR" sz="1600" b="1">
              <a:solidFill>
                <a:schemeClr val="accent3">
                  <a:lumMod val="50000"/>
                </a:schemeClr>
              </a:solidFill>
              <a:effectLst>
                <a:innerShdw blurRad="63500" dist="50800" dir="13500000">
                  <a:prstClr val="black">
                    <a:alpha val="50000"/>
                  </a:prstClr>
                </a:innerShdw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0" name="Retângulo: Cantos Arredondados 9">
            <a:hlinkClick xmlns:r="http://schemas.openxmlformats.org/officeDocument/2006/relationships" r:id="rId2"/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99861" y="90591"/>
            <a:ext cx="1483669" cy="254609"/>
          </a:xfrm>
          <a:prstGeom prst="roundRect">
            <a:avLst/>
          </a:prstGeom>
          <a:noFill/>
          <a:ln>
            <a:noFill/>
          </a:ln>
          <a:effectLst>
            <a:innerShdw blurRad="114300">
              <a:schemeClr val="accent4"/>
            </a:inn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600" b="1">
                <a:solidFill>
                  <a:schemeClr val="accent3">
                    <a:lumMod val="50000"/>
                  </a:schemeClr>
                </a:solidFill>
                <a:effectLst>
                  <a:innerShdw blurRad="63500" dist="50800" dir="13500000">
                    <a:prstClr val="black">
                      <a:alpha val="50000"/>
                    </a:prstClr>
                  </a:innerShdw>
                </a:effectLst>
              </a:rPr>
              <a:t>Voltar  </a:t>
            </a:r>
            <a:r>
              <a:rPr lang="pt-BR" sz="1600" b="1" baseline="0">
                <a:solidFill>
                  <a:schemeClr val="accent3">
                    <a:lumMod val="50000"/>
                  </a:schemeClr>
                </a:solidFill>
              </a:rPr>
              <a:t> </a:t>
            </a:r>
            <a:endParaRPr lang="pt-BR" sz="1600" b="1">
              <a:solidFill>
                <a:schemeClr val="accent3">
                  <a:lumMod val="50000"/>
                </a:schemeClr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showRowColHeaders="0" tabSelected="1" zoomScaleNormal="100" workbookViewId="0">
      <selection activeCell="B1" sqref="B1"/>
    </sheetView>
  </sheetViews>
  <sheetFormatPr defaultColWidth="9.140625" defaultRowHeight="14.25" x14ac:dyDescent="0.25"/>
  <cols>
    <col min="1" max="11" width="9.140625" style="127"/>
    <col min="12" max="12" width="5.140625" style="127" customWidth="1"/>
    <col min="13" max="16384" width="9.140625" style="127"/>
  </cols>
  <sheetData>
    <row r="1" spans="1:1" x14ac:dyDescent="0.25">
      <c r="A1" s="127" t="s">
        <v>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1"/>
  <sheetViews>
    <sheetView showGridLines="0" zoomScale="70" zoomScaleNormal="70" workbookViewId="0">
      <pane xSplit="1" ySplit="3" topLeftCell="B4" activePane="bottomRight" state="frozen"/>
      <selection activeCell="C8" sqref="C8"/>
      <selection pane="topRight" activeCell="C8" sqref="C8"/>
      <selection pane="bottomLeft" activeCell="C8" sqref="C8"/>
      <selection pane="bottomRight" activeCell="F25" sqref="F25"/>
    </sheetView>
  </sheetViews>
  <sheetFormatPr defaultColWidth="8.85546875" defaultRowHeight="17.25" x14ac:dyDescent="0.3"/>
  <cols>
    <col min="1" max="1" width="22" style="3" bestFit="1" customWidth="1"/>
    <col min="2" max="4" width="20.5703125" style="3" bestFit="1" customWidth="1"/>
    <col min="5" max="6" width="20.5703125" style="3" customWidth="1"/>
    <col min="7" max="8" width="13.140625" style="3" bestFit="1" customWidth="1"/>
    <col min="9" max="9" width="10.140625" style="3" bestFit="1" customWidth="1"/>
    <col min="10" max="16384" width="8.85546875" style="3"/>
  </cols>
  <sheetData>
    <row r="1" spans="1:22" ht="15.6" customHeight="1" x14ac:dyDescent="0.3">
      <c r="A1" s="1" t="s">
        <v>1</v>
      </c>
      <c r="B1" s="1"/>
      <c r="C1" s="1"/>
      <c r="D1" s="1"/>
      <c r="E1" s="1"/>
      <c r="F1" s="1"/>
      <c r="G1" s="1"/>
      <c r="H1" s="1"/>
      <c r="I1" s="1"/>
    </row>
    <row r="2" spans="1:22" x14ac:dyDescent="0.3">
      <c r="A2" s="4" t="s">
        <v>2</v>
      </c>
      <c r="B2" s="4"/>
      <c r="C2" s="4"/>
      <c r="D2" s="4"/>
      <c r="E2" s="5"/>
      <c r="F2" s="5"/>
      <c r="G2" s="5"/>
      <c r="H2" s="5"/>
      <c r="I2" s="5"/>
    </row>
    <row r="3" spans="1:22" ht="52.5" thickBot="1" x14ac:dyDescent="0.35">
      <c r="A3" s="6" t="s">
        <v>3</v>
      </c>
      <c r="B3" s="7">
        <v>2021</v>
      </c>
      <c r="C3" s="7">
        <v>2022</v>
      </c>
      <c r="D3" s="7">
        <v>2023</v>
      </c>
      <c r="E3" s="7" t="s">
        <v>4</v>
      </c>
      <c r="F3" s="7" t="s">
        <v>121</v>
      </c>
      <c r="G3" s="8" t="s">
        <v>5</v>
      </c>
      <c r="H3" s="8" t="s">
        <v>127</v>
      </c>
      <c r="I3" s="9" t="s">
        <v>6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</row>
    <row r="4" spans="1:22" ht="21" customHeight="1" thickTop="1" x14ac:dyDescent="0.3">
      <c r="A4" s="11" t="s">
        <v>7</v>
      </c>
      <c r="B4" s="12">
        <v>29358892906.77602</v>
      </c>
      <c r="C4" s="12">
        <v>35031747623.105621</v>
      </c>
      <c r="D4" s="12">
        <v>31818276798.634964</v>
      </c>
      <c r="E4" s="12">
        <v>33973854169.116123</v>
      </c>
      <c r="F4" s="12">
        <v>32597726266.666668</v>
      </c>
      <c r="G4" s="13">
        <v>6.7746515127860008</v>
      </c>
      <c r="H4" s="13">
        <v>-4.050549859899089</v>
      </c>
      <c r="I4" s="14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</row>
    <row r="5" spans="1:22" ht="21" customHeight="1" x14ac:dyDescent="0.3">
      <c r="A5" s="16" t="s">
        <v>8</v>
      </c>
      <c r="B5" s="17">
        <v>3059455471.8698897</v>
      </c>
      <c r="C5" s="17">
        <v>3597851134.5577416</v>
      </c>
      <c r="D5" s="17">
        <v>4581738667.2010784</v>
      </c>
      <c r="E5" s="17">
        <v>4365783886.9367123</v>
      </c>
      <c r="F5" s="17">
        <v>5686005540.5999994</v>
      </c>
      <c r="G5" s="18">
        <v>-4.7133805734120955</v>
      </c>
      <c r="H5" s="18">
        <v>30.240197129630065</v>
      </c>
      <c r="I5" s="19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21" customHeight="1" x14ac:dyDescent="0.3">
      <c r="A6" s="11" t="s">
        <v>9</v>
      </c>
      <c r="B6" s="12">
        <v>21380592168.771564</v>
      </c>
      <c r="C6" s="12">
        <v>17152474348.720083</v>
      </c>
      <c r="D6" s="12">
        <v>21254994112.365906</v>
      </c>
      <c r="E6" s="12">
        <v>24989211827.377388</v>
      </c>
      <c r="F6" s="12">
        <v>27010296675.794117</v>
      </c>
      <c r="G6" s="13">
        <v>17.56866031234965</v>
      </c>
      <c r="H6" s="13">
        <v>8.0878295097026367</v>
      </c>
      <c r="I6" s="14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</row>
    <row r="7" spans="1:22" ht="21" customHeight="1" x14ac:dyDescent="0.3">
      <c r="A7" s="16" t="s">
        <v>10</v>
      </c>
      <c r="B7" s="17">
        <v>13364793004.979284</v>
      </c>
      <c r="C7" s="17">
        <v>15975176599.463923</v>
      </c>
      <c r="D7" s="17">
        <v>18356599289.22052</v>
      </c>
      <c r="E7" s="17">
        <v>22142001519.023205</v>
      </c>
      <c r="F7" s="17">
        <v>18955450080.189541</v>
      </c>
      <c r="G7" s="18">
        <v>20.621478794416849</v>
      </c>
      <c r="H7" s="18">
        <v>-14.391433566183942</v>
      </c>
      <c r="I7" s="19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</row>
    <row r="8" spans="1:22" ht="21" customHeight="1" x14ac:dyDescent="0.3">
      <c r="A8" s="11" t="s">
        <v>11</v>
      </c>
      <c r="B8" s="12">
        <v>9328166446.8757572</v>
      </c>
      <c r="C8" s="12">
        <v>11404939793.657221</v>
      </c>
      <c r="D8" s="12">
        <v>11256061421.163918</v>
      </c>
      <c r="E8" s="12">
        <v>16806657621.428703</v>
      </c>
      <c r="F8" s="12">
        <v>12940075858.799999</v>
      </c>
      <c r="G8" s="13">
        <v>49.312063896776735</v>
      </c>
      <c r="H8" s="13">
        <v>-23.006250556914797</v>
      </c>
      <c r="I8" s="14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</row>
    <row r="9" spans="1:22" ht="21" customHeight="1" x14ac:dyDescent="0.3">
      <c r="A9" s="16" t="s">
        <v>12</v>
      </c>
      <c r="B9" s="17">
        <v>4504275396.9843445</v>
      </c>
      <c r="C9" s="17">
        <v>3328068671.1543961</v>
      </c>
      <c r="D9" s="17">
        <v>4301949138.1054029</v>
      </c>
      <c r="E9" s="17">
        <v>10129533696.620708</v>
      </c>
      <c r="F9" s="17">
        <v>11046258275.299999</v>
      </c>
      <c r="G9" s="18">
        <v>135.46381817712052</v>
      </c>
      <c r="H9" s="18">
        <v>9.0500175638402514</v>
      </c>
      <c r="I9" s="19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</row>
    <row r="10" spans="1:22" ht="21" customHeight="1" x14ac:dyDescent="0.3">
      <c r="A10" s="11" t="s">
        <v>13</v>
      </c>
      <c r="B10" s="12">
        <v>45299125056.985062</v>
      </c>
      <c r="C10" s="12">
        <v>56591197193.060158</v>
      </c>
      <c r="D10" s="12">
        <v>51698316263.296951</v>
      </c>
      <c r="E10" s="12">
        <v>72258593096.908096</v>
      </c>
      <c r="F10" s="12">
        <v>83924447862.333344</v>
      </c>
      <c r="G10" s="13">
        <v>39.769722342404101</v>
      </c>
      <c r="H10" s="13">
        <v>16.144591619407578</v>
      </c>
      <c r="I10" s="14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</row>
    <row r="11" spans="1:22" ht="21" customHeight="1" x14ac:dyDescent="0.3">
      <c r="A11" s="16" t="s">
        <v>14</v>
      </c>
      <c r="B11" s="17">
        <v>93011944425.436371</v>
      </c>
      <c r="C11" s="17">
        <v>100507614824.98375</v>
      </c>
      <c r="D11" s="17">
        <v>119052964187.34503</v>
      </c>
      <c r="E11" s="17">
        <v>118867970570.34465</v>
      </c>
      <c r="F11" s="17">
        <v>116827356649.93848</v>
      </c>
      <c r="G11" s="18">
        <v>-0.15538766150271499</v>
      </c>
      <c r="H11" s="18">
        <v>-1.7167062839678615</v>
      </c>
      <c r="I11" s="19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</row>
    <row r="12" spans="1:22" ht="21" customHeight="1" x14ac:dyDescent="0.3">
      <c r="A12" s="11" t="s">
        <v>15</v>
      </c>
      <c r="B12" s="12">
        <v>14138934140.111179</v>
      </c>
      <c r="C12" s="12">
        <v>15569898058.091919</v>
      </c>
      <c r="D12" s="12">
        <v>15650859726.100121</v>
      </c>
      <c r="E12" s="12">
        <v>14857787147.738195</v>
      </c>
      <c r="F12" s="12">
        <v>14530299024.830158</v>
      </c>
      <c r="G12" s="13">
        <v>-5.0672780424921964</v>
      </c>
      <c r="H12" s="13">
        <v>-2.2041513965145976</v>
      </c>
      <c r="I12" s="14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</row>
    <row r="13" spans="1:22" ht="21" customHeight="1" x14ac:dyDescent="0.3">
      <c r="A13" s="16" t="s">
        <v>16</v>
      </c>
      <c r="B13" s="17">
        <v>18346592043.208939</v>
      </c>
      <c r="C13" s="17">
        <v>17633572029.706306</v>
      </c>
      <c r="D13" s="17">
        <v>21621393139.325562</v>
      </c>
      <c r="E13" s="17">
        <v>28819287147.019802</v>
      </c>
      <c r="F13" s="17">
        <v>35658910762.728683</v>
      </c>
      <c r="G13" s="18">
        <v>33.290611577671747</v>
      </c>
      <c r="H13" s="18">
        <v>23.732799429829644</v>
      </c>
      <c r="I13" s="19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</row>
    <row r="14" spans="1:22" ht="21" customHeight="1" x14ac:dyDescent="0.3">
      <c r="A14" s="11" t="s">
        <v>17</v>
      </c>
      <c r="B14" s="12">
        <v>97170386.124458611</v>
      </c>
      <c r="C14" s="12">
        <v>126069220.23443414</v>
      </c>
      <c r="D14" s="12">
        <v>107776365.24463141</v>
      </c>
      <c r="E14" s="12">
        <v>120136077.32229541</v>
      </c>
      <c r="F14" s="12">
        <v>149051469.33333334</v>
      </c>
      <c r="G14" s="13">
        <v>11.467924391038654</v>
      </c>
      <c r="H14" s="13">
        <v>24.068866451719639</v>
      </c>
      <c r="I14" s="14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</row>
    <row r="15" spans="1:22" ht="21" customHeight="1" x14ac:dyDescent="0.3">
      <c r="A15" s="16" t="s">
        <v>18</v>
      </c>
      <c r="B15" s="17">
        <v>12482865196.941923</v>
      </c>
      <c r="C15" s="17">
        <v>14729061882.208078</v>
      </c>
      <c r="D15" s="17">
        <v>21183164559.353107</v>
      </c>
      <c r="E15" s="17">
        <v>19169170748.507679</v>
      </c>
      <c r="F15" s="17">
        <v>17841673939.349571</v>
      </c>
      <c r="G15" s="18">
        <v>-9.5075209617638485</v>
      </c>
      <c r="H15" s="18">
        <v>-6.925165551365609</v>
      </c>
      <c r="I15" s="19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</row>
    <row r="16" spans="1:22" ht="21" customHeight="1" x14ac:dyDescent="0.3">
      <c r="A16" s="11" t="s">
        <v>19</v>
      </c>
      <c r="B16" s="12">
        <v>133937600791.30231</v>
      </c>
      <c r="C16" s="12">
        <v>150498915879.56644</v>
      </c>
      <c r="D16" s="12">
        <v>148701293591.92255</v>
      </c>
      <c r="E16" s="12">
        <v>122603356949.83783</v>
      </c>
      <c r="F16" s="12">
        <v>123984640020.80002</v>
      </c>
      <c r="G16" s="13">
        <v>-17.550578082867709</v>
      </c>
      <c r="H16" s="13">
        <v>1.1266274475072668</v>
      </c>
      <c r="I16" s="14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</row>
    <row r="17" spans="1:22" ht="21" customHeight="1" x14ac:dyDescent="0.3">
      <c r="A17" s="16" t="s">
        <v>20</v>
      </c>
      <c r="B17" s="17">
        <v>389212382581.62256</v>
      </c>
      <c r="C17" s="17">
        <v>342361479157.40515</v>
      </c>
      <c r="D17" s="17">
        <v>350519404644.00586</v>
      </c>
      <c r="E17" s="17">
        <v>291283238424.02362</v>
      </c>
      <c r="F17" s="17">
        <v>339246078442.68762</v>
      </c>
      <c r="G17" s="18">
        <v>-16.899539778730254</v>
      </c>
      <c r="H17" s="18">
        <v>16.466048742854223</v>
      </c>
      <c r="I17" s="19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21" customHeight="1" x14ac:dyDescent="0.3">
      <c r="A18" s="11" t="s">
        <v>21</v>
      </c>
      <c r="B18" s="12">
        <v>12305037569.105198</v>
      </c>
      <c r="C18" s="12">
        <v>15158026363.598669</v>
      </c>
      <c r="D18" s="12">
        <v>18673998957.209797</v>
      </c>
      <c r="E18" s="12">
        <v>19445070823.894852</v>
      </c>
      <c r="F18" s="12">
        <v>12776074429.874533</v>
      </c>
      <c r="G18" s="13">
        <v>4.1291202192519805</v>
      </c>
      <c r="H18" s="13">
        <v>-34.296590917144918</v>
      </c>
      <c r="I18" s="14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21" customHeight="1" x14ac:dyDescent="0.3">
      <c r="A19" s="16" t="s">
        <v>22</v>
      </c>
      <c r="B19" s="17">
        <v>13285192976.009214</v>
      </c>
      <c r="C19" s="17">
        <v>18696971346.57843</v>
      </c>
      <c r="D19" s="17">
        <v>10902662659.731956</v>
      </c>
      <c r="E19" s="17">
        <v>11390841330.304375</v>
      </c>
      <c r="F19" s="17">
        <v>11422657254.24</v>
      </c>
      <c r="G19" s="18">
        <v>4.4776096060961779</v>
      </c>
      <c r="H19" s="18">
        <v>0.2793114486721926</v>
      </c>
      <c r="I19" s="19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21" customHeight="1" x14ac:dyDescent="0.3">
      <c r="A20" s="11" t="s">
        <v>23</v>
      </c>
      <c r="B20" s="12">
        <v>7222617205.0515442</v>
      </c>
      <c r="C20" s="12">
        <v>6594818755.3606634</v>
      </c>
      <c r="D20" s="12">
        <v>7990434158.2859287</v>
      </c>
      <c r="E20" s="12">
        <v>8973002426.8733902</v>
      </c>
      <c r="F20" s="12">
        <v>10200023306.666668</v>
      </c>
      <c r="G20" s="13">
        <v>12.296807021037237</v>
      </c>
      <c r="H20" s="13">
        <v>13.674585399848471</v>
      </c>
      <c r="I20" s="14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</row>
    <row r="21" spans="1:22" ht="21" customHeight="1" thickBot="1" x14ac:dyDescent="0.35">
      <c r="A21" s="20" t="s">
        <v>24</v>
      </c>
      <c r="B21" s="21">
        <v>820335637768.15552</v>
      </c>
      <c r="C21" s="21">
        <v>824957882881.453</v>
      </c>
      <c r="D21" s="21">
        <v>857671887678.51331</v>
      </c>
      <c r="E21" s="21">
        <v>820195497463.27771</v>
      </c>
      <c r="F21" s="21">
        <v>874797025860.13269</v>
      </c>
      <c r="G21" s="22">
        <v>-4.3695486296833286</v>
      </c>
      <c r="H21" s="22">
        <v>6.6571358372153888</v>
      </c>
      <c r="I21" s="23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spans="1:22" ht="21" customHeight="1" thickTop="1" x14ac:dyDescent="0.3">
      <c r="A22" s="11" t="s">
        <v>25</v>
      </c>
      <c r="B22" s="12">
        <v>160071717716.12897</v>
      </c>
      <c r="C22" s="12">
        <v>156196345080.78632</v>
      </c>
      <c r="D22" s="12">
        <v>149121417862.39597</v>
      </c>
      <c r="E22" s="12">
        <v>151936275092.56961</v>
      </c>
      <c r="F22" s="12">
        <v>180483785018.6969</v>
      </c>
      <c r="G22" s="13">
        <v>1.8876277268038644</v>
      </c>
      <c r="H22" s="13">
        <v>18.789133739611728</v>
      </c>
      <c r="I22" s="14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ht="21" customHeight="1" x14ac:dyDescent="0.3">
      <c r="A23" s="16" t="s">
        <v>26</v>
      </c>
      <c r="B23" s="17">
        <v>47290803203.627487</v>
      </c>
      <c r="C23" s="17">
        <v>41262842439.47184</v>
      </c>
      <c r="D23" s="17">
        <v>47209675036.68486</v>
      </c>
      <c r="E23" s="17">
        <v>52520937949.841255</v>
      </c>
      <c r="F23" s="17">
        <v>62737759627.994568</v>
      </c>
      <c r="G23" s="18">
        <v>11.250369567316888</v>
      </c>
      <c r="H23" s="18">
        <v>19.452854569944321</v>
      </c>
      <c r="I23" s="19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</row>
    <row r="24" spans="1:22" ht="21" customHeight="1" x14ac:dyDescent="0.3">
      <c r="A24" s="11" t="s">
        <v>27</v>
      </c>
      <c r="B24" s="12">
        <v>100863934379.871</v>
      </c>
      <c r="C24" s="12">
        <v>98309048223.71756</v>
      </c>
      <c r="D24" s="12">
        <v>94993386586.462646</v>
      </c>
      <c r="E24" s="12">
        <v>101742915390.71565</v>
      </c>
      <c r="F24" s="12">
        <v>100727931206.67</v>
      </c>
      <c r="G24" s="13">
        <v>7.1052617943140772</v>
      </c>
      <c r="H24" s="13">
        <v>-0.99759691389605942</v>
      </c>
      <c r="I24" s="14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</row>
    <row r="25" spans="1:22" ht="21" customHeight="1" x14ac:dyDescent="0.3">
      <c r="A25" s="16" t="s">
        <v>28</v>
      </c>
      <c r="B25" s="17">
        <v>54418585311.700081</v>
      </c>
      <c r="C25" s="17">
        <v>59414168679.397049</v>
      </c>
      <c r="D25" s="17">
        <v>66811403073.090324</v>
      </c>
      <c r="E25" s="17">
        <v>65844332947.789116</v>
      </c>
      <c r="F25" s="17">
        <v>69052627777.777771</v>
      </c>
      <c r="G25" s="18">
        <v>-1.4474626797513213</v>
      </c>
      <c r="H25" s="18">
        <v>4.8725451171821588</v>
      </c>
      <c r="I25" s="19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</row>
    <row r="26" spans="1:22" ht="21" customHeight="1" x14ac:dyDescent="0.3">
      <c r="A26" s="11" t="s">
        <v>29</v>
      </c>
      <c r="B26" s="12">
        <v>19060159590.798706</v>
      </c>
      <c r="C26" s="12">
        <v>21147850675.966328</v>
      </c>
      <c r="D26" s="12">
        <v>26058686309.546474</v>
      </c>
      <c r="E26" s="12">
        <v>25429119915.15189</v>
      </c>
      <c r="F26" s="12">
        <v>22045251705.880951</v>
      </c>
      <c r="G26" s="13">
        <v>-2.4159559960777677</v>
      </c>
      <c r="H26" s="13">
        <v>-13.307059861142378</v>
      </c>
      <c r="I26" s="14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21" customHeight="1" thickBot="1" x14ac:dyDescent="0.35">
      <c r="A27" s="20" t="s">
        <v>30</v>
      </c>
      <c r="B27" s="21">
        <v>381705200202.12622</v>
      </c>
      <c r="C27" s="21">
        <v>376330255099.33905</v>
      </c>
      <c r="D27" s="21">
        <v>384194568868.18024</v>
      </c>
      <c r="E27" s="21">
        <v>397473581296.06757</v>
      </c>
      <c r="F27" s="21">
        <v>435047355337.02014</v>
      </c>
      <c r="G27" s="22">
        <v>3.4563248686743986</v>
      </c>
      <c r="H27" s="22">
        <v>9.4531500479688049</v>
      </c>
      <c r="I27" s="23"/>
      <c r="J27" s="10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0"/>
    </row>
    <row r="28" spans="1:22" ht="21" customHeight="1" thickTop="1" thickBot="1" x14ac:dyDescent="0.35">
      <c r="A28" s="24" t="s">
        <v>31</v>
      </c>
      <c r="B28" s="25">
        <v>1202040837970.2817</v>
      </c>
      <c r="C28" s="25">
        <v>1201288137980.792</v>
      </c>
      <c r="D28" s="25">
        <v>1241866456546.6936</v>
      </c>
      <c r="E28" s="25">
        <v>1217669078759.3452</v>
      </c>
      <c r="F28" s="25">
        <v>1309844381197.1528</v>
      </c>
      <c r="G28" s="26">
        <v>-1.9484685861179463</v>
      </c>
      <c r="H28" s="26">
        <v>7.5698154815364793</v>
      </c>
      <c r="I28" s="27"/>
      <c r="J28" s="28"/>
      <c r="K28" s="10"/>
      <c r="L28" s="15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1:22" s="30" customFormat="1" ht="25.5" customHeight="1" thickTop="1" x14ac:dyDescent="0.2">
      <c r="A29" s="142" t="s">
        <v>129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</row>
    <row r="30" spans="1:22" s="30" customFormat="1" ht="16.5" customHeight="1" x14ac:dyDescent="0.2">
      <c r="A30" s="142" t="s">
        <v>130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</row>
    <row r="31" spans="1:22" s="30" customFormat="1" ht="33.75" customHeight="1" x14ac:dyDescent="0.2">
      <c r="A31" s="142" t="s">
        <v>125</v>
      </c>
      <c r="B31" s="144"/>
      <c r="C31" s="144"/>
      <c r="D31" s="144"/>
      <c r="E31" s="144"/>
      <c r="F31" s="144"/>
      <c r="G31" s="144"/>
      <c r="H31" s="144"/>
      <c r="I31" s="144"/>
      <c r="J31" s="144"/>
      <c r="K31" s="144"/>
      <c r="L31" s="144"/>
      <c r="M31" s="144"/>
      <c r="N31" s="144"/>
      <c r="O31" s="144"/>
      <c r="P31" s="144"/>
      <c r="Q31" s="144"/>
      <c r="R31" s="144"/>
      <c r="S31" s="144"/>
      <c r="T31" s="144"/>
      <c r="U31" s="144"/>
      <c r="V31" s="144"/>
    </row>
    <row r="32" spans="1:22" s="2" customFormat="1" ht="29.25" customHeight="1" x14ac:dyDescent="0.25">
      <c r="A32" s="145" t="s">
        <v>32</v>
      </c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5"/>
      <c r="N32" s="145"/>
      <c r="O32" s="145"/>
      <c r="P32" s="145"/>
      <c r="Q32" s="145"/>
      <c r="R32" s="145"/>
      <c r="S32" s="145"/>
      <c r="T32" s="145"/>
      <c r="U32" s="145"/>
      <c r="V32" s="145"/>
    </row>
    <row r="33" spans="1:22" s="2" customFormat="1" ht="14.25" customHeight="1" x14ac:dyDescent="0.25">
      <c r="A33" s="142" t="s">
        <v>33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</row>
    <row r="34" spans="1:22" s="2" customFormat="1" ht="14.25" x14ac:dyDescent="0.25">
      <c r="A34" s="143" t="s">
        <v>34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</row>
    <row r="35" spans="1:22" s="2" customFormat="1" ht="14.25" x14ac:dyDescent="0.25">
      <c r="A35" s="30" t="s">
        <v>131</v>
      </c>
      <c r="B35" s="30"/>
      <c r="C35" s="30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</row>
    <row r="36" spans="1:22" s="2" customFormat="1" ht="14.25" x14ac:dyDescent="0.25">
      <c r="A36" s="30" t="s">
        <v>132</v>
      </c>
      <c r="B36" s="30"/>
      <c r="C36" s="30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</row>
    <row r="37" spans="1:22" s="2" customFormat="1" ht="14.25" x14ac:dyDescent="0.25">
      <c r="A37" s="30" t="s">
        <v>122</v>
      </c>
      <c r="B37" s="131"/>
      <c r="C37" s="30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</row>
    <row r="38" spans="1:22" s="2" customFormat="1" ht="14.25" x14ac:dyDescent="0.25">
      <c r="A38" s="131" t="s">
        <v>35</v>
      </c>
      <c r="B38" s="131"/>
      <c r="C38" s="30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</row>
    <row r="39" spans="1:22" s="2" customFormat="1" ht="14.25" x14ac:dyDescent="0.25">
      <c r="A39" s="131" t="s">
        <v>36</v>
      </c>
      <c r="B39" s="131"/>
      <c r="C39" s="30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</row>
    <row r="40" spans="1:22" s="2" customFormat="1" ht="14.25" x14ac:dyDescent="0.25">
      <c r="A40" s="131" t="s">
        <v>126</v>
      </c>
      <c r="B40" s="131"/>
      <c r="C40" s="30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</row>
    <row r="41" spans="1:22" ht="17.25" customHeight="1" x14ac:dyDescent="0.3">
      <c r="A41" s="142" t="s">
        <v>37</v>
      </c>
      <c r="B41" s="142"/>
    </row>
  </sheetData>
  <mergeCells count="7">
    <mergeCell ref="A33:V33"/>
    <mergeCell ref="A34:U34"/>
    <mergeCell ref="A41:B41"/>
    <mergeCell ref="A29:V29"/>
    <mergeCell ref="A30:V30"/>
    <mergeCell ref="A31:V31"/>
    <mergeCell ref="A32:V32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52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F2FA7DE0-318B-40ED-B5C0-0340D21669C1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G4</xm:sqref>
        </x14:conditionalFormatting>
        <x14:conditionalFormatting xmlns:xm="http://schemas.microsoft.com/office/excel/2006/main">
          <x14:cfRule type="iconSet" priority="34" id="{FF45A485-9BE3-4BFD-9345-DEE78D7FFD29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G5:G11 G21:G28</xm:sqref>
        </x14:conditionalFormatting>
        <x14:conditionalFormatting xmlns:xm="http://schemas.microsoft.com/office/excel/2006/main">
          <x14:cfRule type="iconSet" priority="1" id="{6EA7A9A6-68EC-40D8-B3D6-946E746377D7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G12:G20</xm:sqref>
        </x14:conditionalFormatting>
        <x14:conditionalFormatting xmlns:xm="http://schemas.microsoft.com/office/excel/2006/main">
          <x14:cfRule type="iconSet" priority="4" id="{01DAE967-EA37-449D-ABBD-5D173A0C2BA2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H4</xm:sqref>
        </x14:conditionalFormatting>
        <x14:conditionalFormatting xmlns:xm="http://schemas.microsoft.com/office/excel/2006/main">
          <x14:cfRule type="iconSet" priority="36" id="{E8A45179-22B6-4C31-8133-D3722E1C6820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H5:H11 H21:H28</xm:sqref>
        </x14:conditionalFormatting>
        <x14:conditionalFormatting xmlns:xm="http://schemas.microsoft.com/office/excel/2006/main">
          <x14:cfRule type="iconSet" priority="2" id="{FE888E44-EB0B-4458-9915-89CEEB29D08E}">
            <x14:iconSet iconSet="3Triangles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</x14:iconSet>
          </x14:cfRule>
          <xm:sqref>H12:H20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span" xr2:uid="{00000000-0003-0000-01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VBP!B4:D4</xm:f>
              <xm:sqref>I4</xm:sqref>
            </x14:sparkline>
            <x14:sparkline>
              <xm:f>VBP!B5:D5</xm:f>
              <xm:sqref>I5</xm:sqref>
            </x14:sparkline>
            <x14:sparkline>
              <xm:f>VBP!B6:D6</xm:f>
              <xm:sqref>I6</xm:sqref>
            </x14:sparkline>
            <x14:sparkline>
              <xm:f>VBP!B7:D7</xm:f>
              <xm:sqref>I7</xm:sqref>
            </x14:sparkline>
            <x14:sparkline>
              <xm:f>VBP!B8:D8</xm:f>
              <xm:sqref>I8</xm:sqref>
            </x14:sparkline>
            <x14:sparkline>
              <xm:f>VBP!B9:D9</xm:f>
              <xm:sqref>I9</xm:sqref>
            </x14:sparkline>
            <x14:sparkline>
              <xm:f>VBP!B10:D10</xm:f>
              <xm:sqref>I10</xm:sqref>
            </x14:sparkline>
            <x14:sparkline>
              <xm:f>VBP!B11:D11</xm:f>
              <xm:sqref>I11</xm:sqref>
            </x14:sparkline>
            <x14:sparkline>
              <xm:f>VBP!B12:D12</xm:f>
              <xm:sqref>I12</xm:sqref>
            </x14:sparkline>
            <x14:sparkline>
              <xm:f>VBP!B13:D13</xm:f>
              <xm:sqref>I13</xm:sqref>
            </x14:sparkline>
            <x14:sparkline>
              <xm:f>VBP!B14:D14</xm:f>
              <xm:sqref>I14</xm:sqref>
            </x14:sparkline>
            <x14:sparkline>
              <xm:f>VBP!B15:D15</xm:f>
              <xm:sqref>I15</xm:sqref>
            </x14:sparkline>
            <x14:sparkline>
              <xm:f>VBP!B16:D16</xm:f>
              <xm:sqref>I16</xm:sqref>
            </x14:sparkline>
            <x14:sparkline>
              <xm:f>VBP!B17:D17</xm:f>
              <xm:sqref>I17</xm:sqref>
            </x14:sparkline>
            <x14:sparkline>
              <xm:f>VBP!B18:D18</xm:f>
              <xm:sqref>I18</xm:sqref>
            </x14:sparkline>
            <x14:sparkline>
              <xm:f>VBP!B19:D19</xm:f>
              <xm:sqref>I19</xm:sqref>
            </x14:sparkline>
            <x14:sparkline>
              <xm:f>VBP!B20:D20</xm:f>
              <xm:sqref>I20</xm:sqref>
            </x14:sparkline>
            <x14:sparkline>
              <xm:f>VBP!B21:D21</xm:f>
              <xm:sqref>I21</xm:sqref>
            </x14:sparkline>
            <x14:sparkline>
              <xm:f>VBP!B22:D22</xm:f>
              <xm:sqref>I22</xm:sqref>
            </x14:sparkline>
            <x14:sparkline>
              <xm:f>VBP!B23:D23</xm:f>
              <xm:sqref>I23</xm:sqref>
            </x14:sparkline>
            <x14:sparkline>
              <xm:f>VBP!B24:D24</xm:f>
              <xm:sqref>I24</xm:sqref>
            </x14:sparkline>
            <x14:sparkline>
              <xm:f>VBP!B25:D25</xm:f>
              <xm:sqref>I25</xm:sqref>
            </x14:sparkline>
            <x14:sparkline>
              <xm:f>VBP!B26:D26</xm:f>
              <xm:sqref>I26</xm:sqref>
            </x14:sparkline>
            <x14:sparkline>
              <xm:f>VBP!B27:D27</xm:f>
              <xm:sqref>I27</xm:sqref>
            </x14:sparkline>
            <x14:sparkline>
              <xm:f>VBP!B28:D28</xm:f>
              <xm:sqref>I28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7"/>
  <sheetViews>
    <sheetView showGridLines="0" zoomScale="70" zoomScaleNormal="70" workbookViewId="0">
      <pane xSplit="1" ySplit="3" topLeftCell="B4" activePane="bottomRight" state="frozen"/>
      <selection activeCell="C8" sqref="C8"/>
      <selection pane="topRight" activeCell="C8" sqref="C8"/>
      <selection pane="bottomLeft" activeCell="C8" sqref="C8"/>
      <selection pane="bottomRight" activeCell="B4" sqref="B4"/>
    </sheetView>
  </sheetViews>
  <sheetFormatPr defaultColWidth="8.85546875" defaultRowHeight="17.25" x14ac:dyDescent="0.3"/>
  <cols>
    <col min="1" max="1" width="22.28515625" style="3" customWidth="1"/>
    <col min="2" max="32" width="8.28515625" style="3" bestFit="1" customWidth="1"/>
    <col min="33" max="38" width="10.140625" style="3" bestFit="1" customWidth="1"/>
    <col min="39" max="41" width="13.5703125" style="122" customWidth="1"/>
    <col min="42" max="16384" width="8.85546875" style="3"/>
  </cols>
  <sheetData>
    <row r="1" spans="1:41" x14ac:dyDescent="0.3">
      <c r="A1" s="29" t="s">
        <v>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</row>
    <row r="2" spans="1:41" x14ac:dyDescent="0.3">
      <c r="A2" s="146" t="s">
        <v>38</v>
      </c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6"/>
      <c r="AF2" s="146"/>
      <c r="AG2" s="146"/>
      <c r="AH2" s="146"/>
      <c r="AI2" s="146"/>
      <c r="AJ2" s="45"/>
      <c r="AK2" s="45"/>
      <c r="AL2" s="45"/>
    </row>
    <row r="3" spans="1:41" s="10" customFormat="1" ht="33" customHeight="1" thickBot="1" x14ac:dyDescent="0.35">
      <c r="A3" s="6"/>
      <c r="B3" s="33" t="s">
        <v>39</v>
      </c>
      <c r="C3" s="33" t="s">
        <v>40</v>
      </c>
      <c r="D3" s="33" t="s">
        <v>41</v>
      </c>
      <c r="E3" s="33" t="s">
        <v>42</v>
      </c>
      <c r="F3" s="33" t="s">
        <v>43</v>
      </c>
      <c r="G3" s="33" t="s">
        <v>44</v>
      </c>
      <c r="H3" s="33" t="s">
        <v>45</v>
      </c>
      <c r="I3" s="33" t="s">
        <v>46</v>
      </c>
      <c r="J3" s="33" t="s">
        <v>47</v>
      </c>
      <c r="K3" s="33" t="s">
        <v>48</v>
      </c>
      <c r="L3" s="33" t="s">
        <v>49</v>
      </c>
      <c r="M3" s="33" t="s">
        <v>50</v>
      </c>
      <c r="N3" s="33" t="s">
        <v>51</v>
      </c>
      <c r="O3" s="33" t="s">
        <v>52</v>
      </c>
      <c r="P3" s="33" t="s">
        <v>53</v>
      </c>
      <c r="Q3" s="33" t="s">
        <v>54</v>
      </c>
      <c r="R3" s="33" t="s">
        <v>55</v>
      </c>
      <c r="S3" s="33" t="s">
        <v>56</v>
      </c>
      <c r="T3" s="33" t="s">
        <v>57</v>
      </c>
      <c r="U3" s="33" t="s">
        <v>58</v>
      </c>
      <c r="V3" s="33" t="s">
        <v>59</v>
      </c>
      <c r="W3" s="33" t="s">
        <v>60</v>
      </c>
      <c r="X3" s="33" t="s">
        <v>61</v>
      </c>
      <c r="Y3" s="33" t="s">
        <v>62</v>
      </c>
      <c r="Z3" s="33" t="s">
        <v>63</v>
      </c>
      <c r="AA3" s="33" t="s">
        <v>64</v>
      </c>
      <c r="AB3" s="33" t="s">
        <v>65</v>
      </c>
      <c r="AC3" s="34" t="s">
        <v>66</v>
      </c>
      <c r="AD3" s="34" t="s">
        <v>67</v>
      </c>
      <c r="AE3" s="34" t="s">
        <v>68</v>
      </c>
      <c r="AF3" s="34" t="s">
        <v>69</v>
      </c>
      <c r="AG3" s="34" t="s">
        <v>70</v>
      </c>
      <c r="AH3" s="34" t="s">
        <v>71</v>
      </c>
      <c r="AI3" s="34">
        <v>2022</v>
      </c>
      <c r="AJ3" s="34" t="s">
        <v>72</v>
      </c>
      <c r="AK3" s="34" t="s">
        <v>4</v>
      </c>
      <c r="AL3" s="34" t="s">
        <v>121</v>
      </c>
      <c r="AM3" s="129" t="s">
        <v>73</v>
      </c>
      <c r="AN3" s="129" t="s">
        <v>74</v>
      </c>
      <c r="AO3" s="129" t="s">
        <v>123</v>
      </c>
    </row>
    <row r="4" spans="1:41" s="15" customFormat="1" ht="19.5" customHeight="1" thickTop="1" x14ac:dyDescent="0.3">
      <c r="A4" s="11" t="s">
        <v>7</v>
      </c>
      <c r="B4" s="35">
        <v>10.008440604300402</v>
      </c>
      <c r="C4" s="35">
        <v>8.3098057043756093</v>
      </c>
      <c r="D4" s="35">
        <v>9.3529575306320485</v>
      </c>
      <c r="E4" s="35">
        <v>8.1608734141692096</v>
      </c>
      <c r="F4" s="35">
        <v>4.9437715254721075</v>
      </c>
      <c r="G4" s="35">
        <v>6.3750350963864086</v>
      </c>
      <c r="H4" s="35">
        <v>5.9884079886779009</v>
      </c>
      <c r="I4" s="35">
        <v>4.1227237166426489</v>
      </c>
      <c r="J4" s="35">
        <v>3.8469481707822522</v>
      </c>
      <c r="K4" s="35">
        <v>4.6664056792898725</v>
      </c>
      <c r="L4" s="35">
        <v>6.0350342972090703</v>
      </c>
      <c r="M4" s="35">
        <v>7.9812270938761323</v>
      </c>
      <c r="N4" s="35">
        <v>9.1011685318348192</v>
      </c>
      <c r="O4" s="35">
        <v>7.5689461467143611</v>
      </c>
      <c r="P4" s="35">
        <v>9.889903296356767</v>
      </c>
      <c r="Q4" s="35">
        <v>17.622408024990719</v>
      </c>
      <c r="R4" s="35">
        <v>12.723100803748073</v>
      </c>
      <c r="S4" s="35">
        <v>9.373506043457585</v>
      </c>
      <c r="T4" s="35">
        <v>12.975710253984467</v>
      </c>
      <c r="U4" s="35">
        <v>12.173490827672216</v>
      </c>
      <c r="V4" s="35">
        <v>8.3922326227440642</v>
      </c>
      <c r="W4" s="35">
        <v>8.1193152323977866</v>
      </c>
      <c r="X4" s="35">
        <v>21.217877999674393</v>
      </c>
      <c r="Y4" s="35">
        <v>26.429247526759166</v>
      </c>
      <c r="Z4" s="35">
        <v>18.796608716581975</v>
      </c>
      <c r="AA4" s="35">
        <v>24.166664799730114</v>
      </c>
      <c r="AB4" s="35">
        <v>24.728120654240819</v>
      </c>
      <c r="AC4" s="36">
        <v>22.450520654292077</v>
      </c>
      <c r="AD4" s="36">
        <v>15.408367314266846</v>
      </c>
      <c r="AE4" s="36">
        <v>22.947808280440693</v>
      </c>
      <c r="AF4" s="36">
        <v>26.392585429635723</v>
      </c>
      <c r="AG4" s="36">
        <v>28.501414081120011</v>
      </c>
      <c r="AH4" s="36">
        <v>29.35889290677602</v>
      </c>
      <c r="AI4" s="36">
        <v>35.031747623105623</v>
      </c>
      <c r="AJ4" s="36">
        <v>31.818276798634965</v>
      </c>
      <c r="AK4" s="36">
        <v>33.973854169116123</v>
      </c>
      <c r="AL4" s="36">
        <v>32.597726266666669</v>
      </c>
      <c r="AM4" s="123">
        <v>-9.1730245919880216E-2</v>
      </c>
      <c r="AN4" s="123">
        <v>6.7746515127860008E-2</v>
      </c>
      <c r="AO4" s="123">
        <v>-4.0505498598990886E-2</v>
      </c>
    </row>
    <row r="5" spans="1:41" s="15" customFormat="1" ht="19.5" customHeight="1" x14ac:dyDescent="0.3">
      <c r="A5" s="16" t="s">
        <v>8</v>
      </c>
      <c r="B5" s="37">
        <v>0.76494299076652972</v>
      </c>
      <c r="C5" s="37">
        <v>0.61553465283671693</v>
      </c>
      <c r="D5" s="37">
        <v>0.68819729695844645</v>
      </c>
      <c r="E5" s="37">
        <v>0.55673820543752217</v>
      </c>
      <c r="F5" s="37">
        <v>0.683632219466908</v>
      </c>
      <c r="G5" s="37">
        <v>0.63890398740176091</v>
      </c>
      <c r="H5" s="37">
        <v>0.57126818962236359</v>
      </c>
      <c r="I5" s="37">
        <v>0.54611392491743127</v>
      </c>
      <c r="J5" s="37">
        <v>0.57363054472681407</v>
      </c>
      <c r="K5" s="37">
        <v>0.61625536075974274</v>
      </c>
      <c r="L5" s="37">
        <v>0.75541257325606415</v>
      </c>
      <c r="M5" s="37">
        <v>0.84004721465499055</v>
      </c>
      <c r="N5" s="37">
        <v>0.60233247029928527</v>
      </c>
      <c r="O5" s="37">
        <v>0.76354466260021481</v>
      </c>
      <c r="P5" s="37">
        <v>0.889887848080127</v>
      </c>
      <c r="Q5" s="37">
        <v>1.026197444715895</v>
      </c>
      <c r="R5" s="37">
        <v>1.0774485350262648</v>
      </c>
      <c r="S5" s="37">
        <v>0.81675070150361184</v>
      </c>
      <c r="T5" s="37">
        <v>1.0300762376194483</v>
      </c>
      <c r="U5" s="37">
        <v>1.4696949246052347</v>
      </c>
      <c r="V5" s="37">
        <v>0.90201814606700703</v>
      </c>
      <c r="W5" s="37">
        <v>0.86894663288650587</v>
      </c>
      <c r="X5" s="37">
        <v>1.1915486257824859</v>
      </c>
      <c r="Y5" s="37">
        <v>1.3355365802861261</v>
      </c>
      <c r="Z5" s="37">
        <v>1.6447567241203846</v>
      </c>
      <c r="AA5" s="37">
        <v>1.8572312337539858</v>
      </c>
      <c r="AB5" s="37">
        <v>1.9872645551399386</v>
      </c>
      <c r="AC5" s="38">
        <v>2.2322956469950266</v>
      </c>
      <c r="AD5" s="38">
        <v>2.3026633244779644</v>
      </c>
      <c r="AE5" s="38">
        <v>2.0811489660192404</v>
      </c>
      <c r="AF5" s="38">
        <v>2.4210502507020712</v>
      </c>
      <c r="AG5" s="38">
        <v>3.341432882414054</v>
      </c>
      <c r="AH5" s="38">
        <v>3.0594554718698896</v>
      </c>
      <c r="AI5" s="38">
        <v>3.5978511345577417</v>
      </c>
      <c r="AJ5" s="38">
        <v>4.581738667201078</v>
      </c>
      <c r="AK5" s="38">
        <v>4.365783886936712</v>
      </c>
      <c r="AL5" s="38">
        <v>5.6860055405999992</v>
      </c>
      <c r="AM5" s="123">
        <v>0.27346532578654847</v>
      </c>
      <c r="AN5" s="123">
        <v>-4.7133805734120959E-2</v>
      </c>
      <c r="AO5" s="123">
        <v>0.30240197129630064</v>
      </c>
    </row>
    <row r="6" spans="1:41" s="15" customFormat="1" ht="19.5" customHeight="1" x14ac:dyDescent="0.3">
      <c r="A6" s="11" t="s">
        <v>9</v>
      </c>
      <c r="B6" s="35">
        <v>23.084030597284858</v>
      </c>
      <c r="C6" s="35">
        <v>18.795840919128697</v>
      </c>
      <c r="D6" s="35">
        <v>27.517382518258522</v>
      </c>
      <c r="E6" s="35">
        <v>23.231560470867933</v>
      </c>
      <c r="F6" s="35">
        <v>23.417666993898361</v>
      </c>
      <c r="G6" s="35">
        <v>22.300881371976125</v>
      </c>
      <c r="H6" s="35">
        <v>19.538974181655931</v>
      </c>
      <c r="I6" s="35">
        <v>15.857268954291269</v>
      </c>
      <c r="J6" s="35">
        <v>15.785410984367722</v>
      </c>
      <c r="K6" s="35">
        <v>17.548016007124293</v>
      </c>
      <c r="L6" s="35">
        <v>23.714446230316632</v>
      </c>
      <c r="M6" s="35">
        <v>17.328150298499246</v>
      </c>
      <c r="N6" s="35">
        <v>16.954774735660362</v>
      </c>
      <c r="O6" s="35">
        <v>20.312971192056153</v>
      </c>
      <c r="P6" s="35">
        <v>24.548209394407348</v>
      </c>
      <c r="Q6" s="35">
        <v>31.249928150364923</v>
      </c>
      <c r="R6" s="35">
        <v>22.796094993248058</v>
      </c>
      <c r="S6" s="35">
        <v>18.024891455960574</v>
      </c>
      <c r="T6" s="35">
        <v>18.090712773644569</v>
      </c>
      <c r="U6" s="35">
        <v>23.242640100086291</v>
      </c>
      <c r="V6" s="35">
        <v>24.834702978712521</v>
      </c>
      <c r="W6" s="35">
        <v>19.248886538122051</v>
      </c>
      <c r="X6" s="35">
        <v>18.892240219382689</v>
      </c>
      <c r="Y6" s="35">
        <v>16.997903251908873</v>
      </c>
      <c r="Z6" s="35">
        <v>20.625699472720314</v>
      </c>
      <c r="AA6" s="35">
        <v>21.159568804131421</v>
      </c>
      <c r="AB6" s="35">
        <v>19.691071909142924</v>
      </c>
      <c r="AC6" s="36">
        <v>18.026787258836201</v>
      </c>
      <c r="AD6" s="36">
        <v>19.677249535354623</v>
      </c>
      <c r="AE6" s="36">
        <v>16.395749116995781</v>
      </c>
      <c r="AF6" s="36">
        <v>15.487454554762436</v>
      </c>
      <c r="AG6" s="36">
        <v>21.357648492296882</v>
      </c>
      <c r="AH6" s="36">
        <v>21.380592168771564</v>
      </c>
      <c r="AI6" s="36">
        <v>17.152474348720084</v>
      </c>
      <c r="AJ6" s="36">
        <v>21.254994112365907</v>
      </c>
      <c r="AK6" s="36">
        <v>24.989211827377389</v>
      </c>
      <c r="AL6" s="36">
        <v>27.010296675794116</v>
      </c>
      <c r="AM6" s="123">
        <v>0.23917947231630476</v>
      </c>
      <c r="AN6" s="123">
        <v>0.17568660312349649</v>
      </c>
      <c r="AO6" s="123">
        <v>8.0878295097026154E-2</v>
      </c>
    </row>
    <row r="7" spans="1:41" s="15" customFormat="1" ht="19.5" customHeight="1" x14ac:dyDescent="0.3">
      <c r="A7" s="16" t="s">
        <v>10</v>
      </c>
      <c r="B7" s="37">
        <v>15.236977945020593</v>
      </c>
      <c r="C7" s="37">
        <v>16.764042586995924</v>
      </c>
      <c r="D7" s="37">
        <v>14.448730814156001</v>
      </c>
      <c r="E7" s="37">
        <v>11.637207522869156</v>
      </c>
      <c r="F7" s="37">
        <v>11.601572908110809</v>
      </c>
      <c r="G7" s="37">
        <v>16.975732664372718</v>
      </c>
      <c r="H7" s="37">
        <v>22.551921378991111</v>
      </c>
      <c r="I7" s="37">
        <v>15.450071042228872</v>
      </c>
      <c r="J7" s="37">
        <v>13.432467571348591</v>
      </c>
      <c r="K7" s="37">
        <v>13.535738056843952</v>
      </c>
      <c r="L7" s="37">
        <v>14.372459978757155</v>
      </c>
      <c r="M7" s="37">
        <v>12.497092708302347</v>
      </c>
      <c r="N7" s="37">
        <v>12.208296967172863</v>
      </c>
      <c r="O7" s="37">
        <v>11.93057242780421</v>
      </c>
      <c r="P7" s="37">
        <v>12.420901607962632</v>
      </c>
      <c r="Q7" s="37">
        <v>12.288602198549111</v>
      </c>
      <c r="R7" s="37">
        <v>12.506379416578273</v>
      </c>
      <c r="S7" s="37">
        <v>12.961485075757109</v>
      </c>
      <c r="T7" s="37">
        <v>13.707065182189186</v>
      </c>
      <c r="U7" s="37">
        <v>13.813669113430752</v>
      </c>
      <c r="V7" s="37">
        <v>13.293360222277608</v>
      </c>
      <c r="W7" s="37">
        <v>14.870970474242531</v>
      </c>
      <c r="X7" s="37">
        <v>16.207880358999656</v>
      </c>
      <c r="Y7" s="37">
        <v>15.275934424985218</v>
      </c>
      <c r="Z7" s="37">
        <v>17.385631663822238</v>
      </c>
      <c r="AA7" s="37">
        <v>18.371846825363892</v>
      </c>
      <c r="AB7" s="37">
        <v>17.997078533363446</v>
      </c>
      <c r="AC7" s="38">
        <v>26.501160625023271</v>
      </c>
      <c r="AD7" s="38">
        <v>19.431910283628412</v>
      </c>
      <c r="AE7" s="38">
        <v>16.832395268166906</v>
      </c>
      <c r="AF7" s="38">
        <v>19.387459340448647</v>
      </c>
      <c r="AG7" s="38">
        <v>14.999405995640837</v>
      </c>
      <c r="AH7" s="38">
        <v>13.364793004979285</v>
      </c>
      <c r="AI7" s="38">
        <v>15.975176599463923</v>
      </c>
      <c r="AJ7" s="38">
        <v>18.356599289220519</v>
      </c>
      <c r="AK7" s="38">
        <v>22.142001519023204</v>
      </c>
      <c r="AL7" s="38">
        <v>18.955450080189539</v>
      </c>
      <c r="AM7" s="123">
        <v>0.14907019493208651</v>
      </c>
      <c r="AN7" s="123">
        <v>0.20621478794416848</v>
      </c>
      <c r="AO7" s="123">
        <v>-0.14391433566183942</v>
      </c>
    </row>
    <row r="8" spans="1:41" s="15" customFormat="1" ht="19.5" customHeight="1" x14ac:dyDescent="0.3">
      <c r="A8" s="11" t="s">
        <v>11</v>
      </c>
      <c r="B8" s="35">
        <v>7.5806367911296384</v>
      </c>
      <c r="C8" s="35">
        <v>9.4661809571598958</v>
      </c>
      <c r="D8" s="35">
        <v>6.9571768437467938</v>
      </c>
      <c r="E8" s="35">
        <v>7.4244057453629591</v>
      </c>
      <c r="F8" s="35">
        <v>5.6402327624714541</v>
      </c>
      <c r="G8" s="35">
        <v>11.08264488571653</v>
      </c>
      <c r="H8" s="35">
        <v>8.3991393273905057</v>
      </c>
      <c r="I8" s="35">
        <v>5.7764943084692506</v>
      </c>
      <c r="J8" s="35">
        <v>6.985999538521706</v>
      </c>
      <c r="K8" s="35">
        <v>8.9563061325622915</v>
      </c>
      <c r="L8" s="35">
        <v>6.2271391102093645</v>
      </c>
      <c r="M8" s="35">
        <v>6.1873033866514024</v>
      </c>
      <c r="N8" s="35">
        <v>9.0953818078228075</v>
      </c>
      <c r="O8" s="35">
        <v>7.9371655803264494</v>
      </c>
      <c r="P8" s="35">
        <v>7.5151552565100612</v>
      </c>
      <c r="Q8" s="35">
        <v>6.1352098528394405</v>
      </c>
      <c r="R8" s="35">
        <v>7.1628233583574632</v>
      </c>
      <c r="S8" s="35">
        <v>6.7371430534875003</v>
      </c>
      <c r="T8" s="35">
        <v>7.2710437690428726</v>
      </c>
      <c r="U8" s="35">
        <v>7.3833822023877982</v>
      </c>
      <c r="V8" s="35">
        <v>9.1519404324147171</v>
      </c>
      <c r="W8" s="35">
        <v>9.7400515586722545</v>
      </c>
      <c r="X8" s="35">
        <v>8.0389684821903291</v>
      </c>
      <c r="Y8" s="35">
        <v>6.3370024890966103</v>
      </c>
      <c r="Z8" s="35">
        <v>9.4745233558157462</v>
      </c>
      <c r="AA8" s="35">
        <v>11.028350756976458</v>
      </c>
      <c r="AB8" s="35">
        <v>10.897224689707969</v>
      </c>
      <c r="AC8" s="36">
        <v>13.13042024789951</v>
      </c>
      <c r="AD8" s="36">
        <v>7.0467373590782865</v>
      </c>
      <c r="AE8" s="36">
        <v>6.7311338234779772</v>
      </c>
      <c r="AF8" s="36">
        <v>12.595678336692385</v>
      </c>
      <c r="AG8" s="36">
        <v>10.111842757146771</v>
      </c>
      <c r="AH8" s="36">
        <v>9.3281664468757572</v>
      </c>
      <c r="AI8" s="36">
        <v>11.404939793657221</v>
      </c>
      <c r="AJ8" s="36">
        <v>11.256061421163917</v>
      </c>
      <c r="AK8" s="36">
        <v>16.806657621428702</v>
      </c>
      <c r="AL8" s="36">
        <v>12.940075858799998</v>
      </c>
      <c r="AM8" s="123">
        <v>-1.3053849927037842E-2</v>
      </c>
      <c r="AN8" s="123">
        <v>0.49312063896776714</v>
      </c>
      <c r="AO8" s="123">
        <v>-0.23006250556914798</v>
      </c>
    </row>
    <row r="9" spans="1:41" s="15" customFormat="1" ht="19.5" customHeight="1" x14ac:dyDescent="0.3">
      <c r="A9" s="16" t="s">
        <v>12</v>
      </c>
      <c r="B9" s="37">
        <v>4.6486296440952124</v>
      </c>
      <c r="C9" s="37">
        <v>3.6723653222380017</v>
      </c>
      <c r="D9" s="37">
        <v>3.9559852216006983</v>
      </c>
      <c r="E9" s="37">
        <v>3.6468416351543373</v>
      </c>
      <c r="F9" s="37">
        <v>3.8713023687596375</v>
      </c>
      <c r="G9" s="37">
        <v>3.4594956040951912</v>
      </c>
      <c r="H9" s="37">
        <v>2.9341483784582696</v>
      </c>
      <c r="I9" s="37">
        <v>2.4387684850561917</v>
      </c>
      <c r="J9" s="37">
        <v>3.2846475571844906</v>
      </c>
      <c r="K9" s="37">
        <v>3.5498794620161411</v>
      </c>
      <c r="L9" s="37">
        <v>2.5986668028550572</v>
      </c>
      <c r="M9" s="37">
        <v>1.8633817603722282</v>
      </c>
      <c r="N9" s="37">
        <v>2.4206133321255345</v>
      </c>
      <c r="O9" s="37">
        <v>4.5768331161528986</v>
      </c>
      <c r="P9" s="37">
        <v>3.806890953561727</v>
      </c>
      <c r="Q9" s="37">
        <v>3.1217171537715038</v>
      </c>
      <c r="R9" s="37">
        <v>2.6251075110500057</v>
      </c>
      <c r="S9" s="37">
        <v>2.3266512645374151</v>
      </c>
      <c r="T9" s="37">
        <v>2.4757680398234632</v>
      </c>
      <c r="U9" s="37">
        <v>2.8027712300020968</v>
      </c>
      <c r="V9" s="37">
        <v>3.6052434407476741</v>
      </c>
      <c r="W9" s="37">
        <v>3.6331731590774488</v>
      </c>
      <c r="X9" s="37">
        <v>3.1022955017734852</v>
      </c>
      <c r="Y9" s="37">
        <v>2.8635163460334763</v>
      </c>
      <c r="Z9" s="37">
        <v>2.7388265716626585</v>
      </c>
      <c r="AA9" s="37">
        <v>2.2339008986577902</v>
      </c>
      <c r="AB9" s="37">
        <v>2.5922768852903766</v>
      </c>
      <c r="AC9" s="38">
        <v>3.380051246518287</v>
      </c>
      <c r="AD9" s="38">
        <v>2.4605158606439099</v>
      </c>
      <c r="AE9" s="38">
        <v>3.3355373802842423</v>
      </c>
      <c r="AF9" s="38">
        <v>3.5031887418331866</v>
      </c>
      <c r="AG9" s="38">
        <v>4.4000083718819756</v>
      </c>
      <c r="AH9" s="38">
        <v>4.5042753969843448</v>
      </c>
      <c r="AI9" s="38">
        <v>3.3280686711543961</v>
      </c>
      <c r="AJ9" s="38">
        <v>4.3019491381054031</v>
      </c>
      <c r="AK9" s="38">
        <v>10.129533696620708</v>
      </c>
      <c r="AL9" s="38">
        <v>11.0462582753</v>
      </c>
      <c r="AM9" s="123">
        <v>0.29262631369117775</v>
      </c>
      <c r="AN9" s="123">
        <v>1.3546381817712048</v>
      </c>
      <c r="AO9" s="123">
        <v>9.0500175638402514E-2</v>
      </c>
    </row>
    <row r="10" spans="1:41" s="15" customFormat="1" ht="19.5" customHeight="1" x14ac:dyDescent="0.3">
      <c r="A10" s="11" t="s">
        <v>13</v>
      </c>
      <c r="B10" s="137" t="s">
        <v>118</v>
      </c>
      <c r="C10" s="137" t="s">
        <v>118</v>
      </c>
      <c r="D10" s="137" t="s">
        <v>118</v>
      </c>
      <c r="E10" s="137" t="s">
        <v>118</v>
      </c>
      <c r="F10" s="137" t="s">
        <v>118</v>
      </c>
      <c r="G10" s="137" t="s">
        <v>118</v>
      </c>
      <c r="H10" s="137" t="s">
        <v>118</v>
      </c>
      <c r="I10" s="137" t="s">
        <v>118</v>
      </c>
      <c r="J10" s="35">
        <v>35.801342782047648</v>
      </c>
      <c r="K10" s="35">
        <v>36.534074213299803</v>
      </c>
      <c r="L10" s="35">
        <v>35.421399303029446</v>
      </c>
      <c r="M10" s="35">
        <v>32.54626467339083</v>
      </c>
      <c r="N10" s="35">
        <v>20.246435799047859</v>
      </c>
      <c r="O10" s="35">
        <v>28.172758433330031</v>
      </c>
      <c r="P10" s="35">
        <v>23.376250822175841</v>
      </c>
      <c r="Q10" s="35">
        <v>33.139239521524452</v>
      </c>
      <c r="R10" s="35">
        <v>35.123073234845705</v>
      </c>
      <c r="S10" s="35">
        <v>36.966223694000824</v>
      </c>
      <c r="T10" s="35">
        <v>31.002984118880715</v>
      </c>
      <c r="U10" s="35">
        <v>35.752886124462307</v>
      </c>
      <c r="V10" s="35">
        <v>30.976111999302216</v>
      </c>
      <c r="W10" s="35">
        <v>41.293832474520549</v>
      </c>
      <c r="X10" s="35">
        <v>47.755390030904152</v>
      </c>
      <c r="Y10" s="35">
        <v>43.773997511091835</v>
      </c>
      <c r="Z10" s="35">
        <v>30.921738938932911</v>
      </c>
      <c r="AA10" s="35">
        <v>37.039687426931629</v>
      </c>
      <c r="AB10" s="35">
        <v>36.905761595815306</v>
      </c>
      <c r="AC10" s="36">
        <v>44.037720447308807</v>
      </c>
      <c r="AD10" s="36">
        <v>37.571053973559003</v>
      </c>
      <c r="AE10" s="36">
        <v>41.367373902050829</v>
      </c>
      <c r="AF10" s="36">
        <v>30.706748019868936</v>
      </c>
      <c r="AG10" s="36">
        <v>43.897433810892366</v>
      </c>
      <c r="AH10" s="36">
        <v>45.299125056985062</v>
      </c>
      <c r="AI10" s="36">
        <v>56.591197193060161</v>
      </c>
      <c r="AJ10" s="36">
        <v>51.698316263296952</v>
      </c>
      <c r="AK10" s="36">
        <v>72.258593096908101</v>
      </c>
      <c r="AL10" s="36">
        <v>83.924447862333338</v>
      </c>
      <c r="AM10" s="123">
        <v>-8.6460106384941948E-2</v>
      </c>
      <c r="AN10" s="123">
        <v>0.39769722342404124</v>
      </c>
      <c r="AO10" s="123">
        <v>0.16144591619407556</v>
      </c>
    </row>
    <row r="11" spans="1:41" s="15" customFormat="1" ht="19.5" customHeight="1" x14ac:dyDescent="0.3">
      <c r="A11" s="16" t="s">
        <v>75</v>
      </c>
      <c r="B11" s="138" t="s">
        <v>118</v>
      </c>
      <c r="C11" s="138" t="s">
        <v>118</v>
      </c>
      <c r="D11" s="138" t="s">
        <v>118</v>
      </c>
      <c r="E11" s="138" t="s">
        <v>118</v>
      </c>
      <c r="F11" s="138" t="s">
        <v>118</v>
      </c>
      <c r="G11" s="138" t="s">
        <v>118</v>
      </c>
      <c r="H11" s="138" t="s">
        <v>118</v>
      </c>
      <c r="I11" s="138" t="s">
        <v>118</v>
      </c>
      <c r="J11" s="37">
        <v>35.801342782047648</v>
      </c>
      <c r="K11" s="37">
        <v>36.534074213299803</v>
      </c>
      <c r="L11" s="37">
        <v>35.421399303029446</v>
      </c>
      <c r="M11" s="37">
        <v>32.54626467339083</v>
      </c>
      <c r="N11" s="37">
        <v>20.246435799047859</v>
      </c>
      <c r="O11" s="37">
        <v>28.172758433330031</v>
      </c>
      <c r="P11" s="37">
        <v>23.376250822175841</v>
      </c>
      <c r="Q11" s="37">
        <v>33.139239521524452</v>
      </c>
      <c r="R11" s="37">
        <v>35.123073234845705</v>
      </c>
      <c r="S11" s="37">
        <v>36.966223694000824</v>
      </c>
      <c r="T11" s="37">
        <v>31.002984118880715</v>
      </c>
      <c r="U11" s="37">
        <v>35.752886124462307</v>
      </c>
      <c r="V11" s="37">
        <v>30.976111999302216</v>
      </c>
      <c r="W11" s="37">
        <v>41.293832474520549</v>
      </c>
      <c r="X11" s="37">
        <v>40.951575415487113</v>
      </c>
      <c r="Y11" s="37">
        <v>35.674780526770647</v>
      </c>
      <c r="Z11" s="37">
        <v>25.09769477503761</v>
      </c>
      <c r="AA11" s="37">
        <v>29.935274371909077</v>
      </c>
      <c r="AB11" s="37">
        <v>29.926570501105136</v>
      </c>
      <c r="AC11" s="37">
        <v>38.020579380666177</v>
      </c>
      <c r="AD11" s="37">
        <v>29.158053751792576</v>
      </c>
      <c r="AE11" s="37">
        <v>33.139509060286009</v>
      </c>
      <c r="AF11" s="37">
        <v>23.479296549236668</v>
      </c>
      <c r="AG11" s="37">
        <v>36.580833750080423</v>
      </c>
      <c r="AH11" s="37">
        <v>34.185761699145765</v>
      </c>
      <c r="AI11" s="37">
        <v>43.052291220896535</v>
      </c>
      <c r="AJ11" s="37">
        <v>39.394516066078609</v>
      </c>
      <c r="AK11" s="37">
        <v>52.166574136087327</v>
      </c>
      <c r="AL11" s="37">
        <v>59.754142122333334</v>
      </c>
      <c r="AM11" s="123">
        <v>-8.4961219277512767E-2</v>
      </c>
      <c r="AN11" s="123">
        <v>0.32420903581060467</v>
      </c>
      <c r="AO11" s="123">
        <v>0.14544884558553273</v>
      </c>
    </row>
    <row r="12" spans="1:41" s="15" customFormat="1" ht="19.5" customHeight="1" x14ac:dyDescent="0.3">
      <c r="A12" s="11" t="s">
        <v>76</v>
      </c>
      <c r="B12" s="137" t="s">
        <v>118</v>
      </c>
      <c r="C12" s="137" t="s">
        <v>118</v>
      </c>
      <c r="D12" s="137" t="s">
        <v>118</v>
      </c>
      <c r="E12" s="137" t="s">
        <v>118</v>
      </c>
      <c r="F12" s="137" t="s">
        <v>118</v>
      </c>
      <c r="G12" s="137" t="s">
        <v>118</v>
      </c>
      <c r="H12" s="137" t="s">
        <v>118</v>
      </c>
      <c r="I12" s="137" t="s">
        <v>118</v>
      </c>
      <c r="J12" s="137" t="s">
        <v>118</v>
      </c>
      <c r="K12" s="137" t="s">
        <v>118</v>
      </c>
      <c r="L12" s="137" t="s">
        <v>118</v>
      </c>
      <c r="M12" s="137" t="s">
        <v>118</v>
      </c>
      <c r="N12" s="137" t="s">
        <v>118</v>
      </c>
      <c r="O12" s="137" t="s">
        <v>118</v>
      </c>
      <c r="P12" s="137" t="s">
        <v>118</v>
      </c>
      <c r="Q12" s="137" t="s">
        <v>118</v>
      </c>
      <c r="R12" s="137" t="s">
        <v>118</v>
      </c>
      <c r="S12" s="137" t="s">
        <v>118</v>
      </c>
      <c r="T12" s="137" t="s">
        <v>118</v>
      </c>
      <c r="U12" s="137" t="s">
        <v>118</v>
      </c>
      <c r="V12" s="137" t="s">
        <v>118</v>
      </c>
      <c r="W12" s="137" t="s">
        <v>118</v>
      </c>
      <c r="X12" s="35">
        <v>6.8038146154170391</v>
      </c>
      <c r="Y12" s="35">
        <v>8.0992169843211919</v>
      </c>
      <c r="Z12" s="35">
        <v>5.8240441638953016</v>
      </c>
      <c r="AA12" s="35">
        <v>7.1044130550225448</v>
      </c>
      <c r="AB12" s="35">
        <v>6.9791910947101696</v>
      </c>
      <c r="AC12" s="35">
        <v>6.017141066642635</v>
      </c>
      <c r="AD12" s="35">
        <v>8.4130002217664313</v>
      </c>
      <c r="AE12" s="35">
        <v>8.2278648417648217</v>
      </c>
      <c r="AF12" s="35">
        <v>7.2274514706322668</v>
      </c>
      <c r="AG12" s="35">
        <v>7.3166000608119388</v>
      </c>
      <c r="AH12" s="35">
        <v>11.113363357839297</v>
      </c>
      <c r="AI12" s="35">
        <v>13.538905972163619</v>
      </c>
      <c r="AJ12" s="35">
        <v>12.303800197218346</v>
      </c>
      <c r="AK12" s="35">
        <v>20.092018960820766</v>
      </c>
      <c r="AL12" s="35">
        <v>24.170305740000003</v>
      </c>
      <c r="AM12" s="123">
        <v>-9.1226409097211136E-2</v>
      </c>
      <c r="AN12" s="123">
        <v>0.63299294841956133</v>
      </c>
      <c r="AO12" s="123">
        <v>0.20298043651719899</v>
      </c>
    </row>
    <row r="13" spans="1:41" s="15" customFormat="1" ht="19.5" customHeight="1" x14ac:dyDescent="0.3">
      <c r="A13" s="16" t="s">
        <v>14</v>
      </c>
      <c r="B13" s="37">
        <v>34.212964842333236</v>
      </c>
      <c r="C13" s="37">
        <v>36.615605890055363</v>
      </c>
      <c r="D13" s="37">
        <v>36.665791879567564</v>
      </c>
      <c r="E13" s="37">
        <v>39.268564411934648</v>
      </c>
      <c r="F13" s="37">
        <v>33.224119638381694</v>
      </c>
      <c r="G13" s="37">
        <v>39.296049585252554</v>
      </c>
      <c r="H13" s="37">
        <v>37.407662067213863</v>
      </c>
      <c r="I13" s="37">
        <v>42.645364511340276</v>
      </c>
      <c r="J13" s="37">
        <v>45.498201546597485</v>
      </c>
      <c r="K13" s="37">
        <v>46.20742831201121</v>
      </c>
      <c r="L13" s="37">
        <v>35.715090580291097</v>
      </c>
      <c r="M13" s="37">
        <v>38.040558238916311</v>
      </c>
      <c r="N13" s="37">
        <v>49.183384016865048</v>
      </c>
      <c r="O13" s="37">
        <v>47.514321523688537</v>
      </c>
      <c r="P13" s="37">
        <v>48.345039580962734</v>
      </c>
      <c r="Q13" s="37">
        <v>43.852349862620251</v>
      </c>
      <c r="R13" s="37">
        <v>46.942344355688604</v>
      </c>
      <c r="S13" s="37">
        <v>64.455560081413424</v>
      </c>
      <c r="T13" s="37">
        <v>66.747270657580742</v>
      </c>
      <c r="U13" s="37">
        <v>60.386771605416207</v>
      </c>
      <c r="V13" s="37">
        <v>73.88521365833067</v>
      </c>
      <c r="W13" s="37">
        <v>82.913181767623911</v>
      </c>
      <c r="X13" s="37">
        <v>99.71912175818396</v>
      </c>
      <c r="Y13" s="37">
        <v>106.89823568213791</v>
      </c>
      <c r="Z13" s="37">
        <v>111.19192808765418</v>
      </c>
      <c r="AA13" s="37">
        <v>99.840259651320295</v>
      </c>
      <c r="AB13" s="37">
        <v>94.50858598247433</v>
      </c>
      <c r="AC13" s="38">
        <v>99.286903466270175</v>
      </c>
      <c r="AD13" s="38">
        <v>121.50938979714776</v>
      </c>
      <c r="AE13" s="38">
        <v>101.19110151437927</v>
      </c>
      <c r="AF13" s="38">
        <v>91.420128954863571</v>
      </c>
      <c r="AG13" s="38">
        <v>88.583776962613342</v>
      </c>
      <c r="AH13" s="38">
        <v>93.011944425436369</v>
      </c>
      <c r="AI13" s="38">
        <v>100.50761482498375</v>
      </c>
      <c r="AJ13" s="38">
        <v>119.05296418734503</v>
      </c>
      <c r="AK13" s="38">
        <v>118.86797057034465</v>
      </c>
      <c r="AL13" s="38">
        <v>116.82735664993848</v>
      </c>
      <c r="AM13" s="123">
        <v>0.18451685869428625</v>
      </c>
      <c r="AN13" s="123">
        <v>-1.5538766150270389E-3</v>
      </c>
      <c r="AO13" s="123">
        <v>-1.7167062839678615E-2</v>
      </c>
    </row>
    <row r="14" spans="1:41" s="15" customFormat="1" ht="19.5" customHeight="1" x14ac:dyDescent="0.3">
      <c r="A14" s="11" t="s">
        <v>77</v>
      </c>
      <c r="B14" s="35">
        <v>3.1533744523655329</v>
      </c>
      <c r="C14" s="35">
        <v>5.4210611576943286</v>
      </c>
      <c r="D14" s="35">
        <v>2.6279330313306537</v>
      </c>
      <c r="E14" s="35">
        <v>4.634155617786563</v>
      </c>
      <c r="F14" s="35">
        <v>2.3950331286311415</v>
      </c>
      <c r="G14" s="35">
        <v>3.4048738669307159</v>
      </c>
      <c r="H14" s="35">
        <v>4.0384616043687895</v>
      </c>
      <c r="I14" s="35">
        <v>1.7822215315904568</v>
      </c>
      <c r="J14" s="35">
        <v>3.505837948661501</v>
      </c>
      <c r="K14" s="35">
        <v>2.8953906357769945</v>
      </c>
      <c r="L14" s="35">
        <v>2.8921070843358128</v>
      </c>
      <c r="M14" s="35">
        <v>2.9430542619538329</v>
      </c>
      <c r="N14" s="35">
        <v>2.9771703510618512</v>
      </c>
      <c r="O14" s="35">
        <v>3.1686773726763482</v>
      </c>
      <c r="P14" s="35">
        <v>2.825596360262272</v>
      </c>
      <c r="Q14" s="35">
        <v>3.2436695853203079</v>
      </c>
      <c r="R14" s="35">
        <v>2.3742551620643466</v>
      </c>
      <c r="S14" s="35">
        <v>2.2591340609697634</v>
      </c>
      <c r="T14" s="35">
        <v>2.4217385000891265</v>
      </c>
      <c r="U14" s="35">
        <v>3.8290484918246208</v>
      </c>
      <c r="V14" s="35">
        <v>3.4782653229395284</v>
      </c>
      <c r="W14" s="35">
        <v>5.7190030049520049</v>
      </c>
      <c r="X14" s="35">
        <v>2.2540395062980578</v>
      </c>
      <c r="Y14" s="35">
        <v>2.9302809594317263</v>
      </c>
      <c r="Z14" s="35">
        <v>6.4937768468451917</v>
      </c>
      <c r="AA14" s="35">
        <v>7.5949390177843767</v>
      </c>
      <c r="AB14" s="35">
        <v>5.7464358013483272</v>
      </c>
      <c r="AC14" s="36">
        <v>6.5500933696187271</v>
      </c>
      <c r="AD14" s="36">
        <v>3.3118011323955692</v>
      </c>
      <c r="AE14" s="139" t="s">
        <v>118</v>
      </c>
      <c r="AF14" s="139" t="s">
        <v>118</v>
      </c>
      <c r="AG14" s="139" t="s">
        <v>118</v>
      </c>
      <c r="AH14" s="139" t="s">
        <v>118</v>
      </c>
      <c r="AI14" s="139" t="s">
        <v>118</v>
      </c>
      <c r="AJ14" s="139" t="s">
        <v>118</v>
      </c>
      <c r="AK14" s="139" t="s">
        <v>118</v>
      </c>
      <c r="AL14" s="139" t="s">
        <v>118</v>
      </c>
      <c r="AM14" s="123" t="s">
        <v>118</v>
      </c>
      <c r="AN14" s="123" t="s">
        <v>118</v>
      </c>
      <c r="AO14" s="123" t="s">
        <v>118</v>
      </c>
    </row>
    <row r="15" spans="1:41" s="15" customFormat="1" ht="19.5" customHeight="1" x14ac:dyDescent="0.3">
      <c r="A15" s="16" t="s">
        <v>15</v>
      </c>
      <c r="B15" s="37">
        <v>19.822809949278977</v>
      </c>
      <c r="C15" s="37">
        <v>16.497342873724939</v>
      </c>
      <c r="D15" s="37">
        <v>17.929526825371273</v>
      </c>
      <c r="E15" s="37">
        <v>17.246726303909281</v>
      </c>
      <c r="F15" s="37">
        <v>18.010913474096753</v>
      </c>
      <c r="G15" s="37">
        <v>24.535683999618662</v>
      </c>
      <c r="H15" s="37">
        <v>14.46428852816917</v>
      </c>
      <c r="I15" s="37">
        <v>13.24609775579256</v>
      </c>
      <c r="J15" s="37">
        <v>13.751455182231334</v>
      </c>
      <c r="K15" s="37">
        <v>18.083757512241977</v>
      </c>
      <c r="L15" s="37">
        <v>15.154324951359193</v>
      </c>
      <c r="M15" s="37">
        <v>11.771532445616467</v>
      </c>
      <c r="N15" s="37">
        <v>13.215245720039718</v>
      </c>
      <c r="O15" s="37">
        <v>17.544801311795041</v>
      </c>
      <c r="P15" s="37">
        <v>18.145001177460642</v>
      </c>
      <c r="Q15" s="37">
        <v>12.700441268846669</v>
      </c>
      <c r="R15" s="37">
        <v>13.811292442427028</v>
      </c>
      <c r="S15" s="37">
        <v>14.177406639214947</v>
      </c>
      <c r="T15" s="37">
        <v>13.560779485404938</v>
      </c>
      <c r="U15" s="37">
        <v>24.308577186943463</v>
      </c>
      <c r="V15" s="37">
        <v>16.506214886213364</v>
      </c>
      <c r="W15" s="37">
        <v>14.900120513362902</v>
      </c>
      <c r="X15" s="37">
        <v>14.635235533358337</v>
      </c>
      <c r="Y15" s="37">
        <v>17.2298094202988</v>
      </c>
      <c r="Z15" s="37">
        <v>18.055588461721193</v>
      </c>
      <c r="AA15" s="37">
        <v>16.362896223335493</v>
      </c>
      <c r="AB15" s="37">
        <v>15.629963204774556</v>
      </c>
      <c r="AC15" s="38">
        <v>20.195793442493883</v>
      </c>
      <c r="AD15" s="38">
        <v>14.801986081782793</v>
      </c>
      <c r="AE15" s="38">
        <v>9.575441771937319</v>
      </c>
      <c r="AF15" s="38">
        <v>15.010272613748873</v>
      </c>
      <c r="AG15" s="38">
        <v>16.621109203151438</v>
      </c>
      <c r="AH15" s="38">
        <v>14.138934140111179</v>
      </c>
      <c r="AI15" s="38">
        <v>15.569898058091919</v>
      </c>
      <c r="AJ15" s="38">
        <v>15.650859726100121</v>
      </c>
      <c r="AK15" s="38">
        <v>14.857787147738195</v>
      </c>
      <c r="AL15" s="38">
        <v>14.530299024830159</v>
      </c>
      <c r="AM15" s="123">
        <v>5.1998842706695303E-3</v>
      </c>
      <c r="AN15" s="123">
        <v>-5.0672780424921959E-2</v>
      </c>
      <c r="AO15" s="123">
        <v>-2.2041513965145865E-2</v>
      </c>
    </row>
    <row r="16" spans="1:41" s="15" customFormat="1" ht="19.5" customHeight="1" x14ac:dyDescent="0.3">
      <c r="A16" s="11" t="s">
        <v>78</v>
      </c>
      <c r="B16" s="35">
        <v>6.7667714562736938</v>
      </c>
      <c r="C16" s="35">
        <v>7.0307244911252651</v>
      </c>
      <c r="D16" s="35">
        <v>6.4288342559534923</v>
      </c>
      <c r="E16" s="35">
        <v>13.036262237737859</v>
      </c>
      <c r="F16" s="35">
        <v>13.136792149873822</v>
      </c>
      <c r="G16" s="35">
        <v>8.9703411191928932</v>
      </c>
      <c r="H16" s="35">
        <v>7.3823869265308142</v>
      </c>
      <c r="I16" s="35">
        <v>8.5804424795712784</v>
      </c>
      <c r="J16" s="35">
        <v>9.6395543897417859</v>
      </c>
      <c r="K16" s="35">
        <v>8.1282362263961137</v>
      </c>
      <c r="L16" s="35">
        <v>9.5021996827436084</v>
      </c>
      <c r="M16" s="35">
        <v>7.9749424288268536</v>
      </c>
      <c r="N16" s="35">
        <v>7.6976563705465457</v>
      </c>
      <c r="O16" s="35">
        <v>8.9571376986728897</v>
      </c>
      <c r="P16" s="35">
        <v>9.6808083895089059</v>
      </c>
      <c r="Q16" s="35">
        <v>14.241394462869717</v>
      </c>
      <c r="R16" s="35">
        <v>13.989999632662384</v>
      </c>
      <c r="S16" s="35">
        <v>14.273495258312476</v>
      </c>
      <c r="T16" s="35">
        <v>14.805093767549634</v>
      </c>
      <c r="U16" s="35">
        <v>14.563641540395844</v>
      </c>
      <c r="V16" s="35">
        <v>14.673862085499993</v>
      </c>
      <c r="W16" s="35">
        <v>12.060433860393013</v>
      </c>
      <c r="X16" s="35">
        <v>11.959806585144321</v>
      </c>
      <c r="Y16" s="35">
        <v>12.788472707933712</v>
      </c>
      <c r="Z16" s="35">
        <v>14.52975006231866</v>
      </c>
      <c r="AA16" s="35">
        <v>14.829448144645836</v>
      </c>
      <c r="AB16" s="35">
        <v>14.338285709009407</v>
      </c>
      <c r="AC16" s="36">
        <v>10.178549426117733</v>
      </c>
      <c r="AD16" s="139" t="s">
        <v>118</v>
      </c>
      <c r="AE16" s="139" t="s">
        <v>118</v>
      </c>
      <c r="AF16" s="139" t="s">
        <v>118</v>
      </c>
      <c r="AG16" s="139" t="s">
        <v>118</v>
      </c>
      <c r="AH16" s="139" t="s">
        <v>118</v>
      </c>
      <c r="AI16" s="139" t="s">
        <v>118</v>
      </c>
      <c r="AJ16" s="139" t="s">
        <v>118</v>
      </c>
      <c r="AK16" s="139" t="s">
        <v>118</v>
      </c>
      <c r="AL16" s="139" t="s">
        <v>118</v>
      </c>
      <c r="AM16" s="123" t="s">
        <v>118</v>
      </c>
      <c r="AN16" s="123" t="s">
        <v>118</v>
      </c>
      <c r="AO16" s="123" t="s">
        <v>118</v>
      </c>
    </row>
    <row r="17" spans="1:41" s="15" customFormat="1" ht="19.5" customHeight="1" x14ac:dyDescent="0.3">
      <c r="A17" s="16" t="s">
        <v>16</v>
      </c>
      <c r="B17" s="37">
        <v>24.969605363721456</v>
      </c>
      <c r="C17" s="37">
        <v>25.674449309581465</v>
      </c>
      <c r="D17" s="37">
        <v>23.588368381414615</v>
      </c>
      <c r="E17" s="37">
        <v>22.403780792886458</v>
      </c>
      <c r="F17" s="37">
        <v>19.120725434757759</v>
      </c>
      <c r="G17" s="37">
        <v>22.834376795088119</v>
      </c>
      <c r="H17" s="37">
        <v>24.958557185001869</v>
      </c>
      <c r="I17" s="37">
        <v>17.150703597300041</v>
      </c>
      <c r="J17" s="37">
        <v>21.204208619883431</v>
      </c>
      <c r="K17" s="37">
        <v>23.145697789871999</v>
      </c>
      <c r="L17" s="37">
        <v>22.856384072642303</v>
      </c>
      <c r="M17" s="37">
        <v>14.515923403023674</v>
      </c>
      <c r="N17" s="37">
        <v>26.041557974403474</v>
      </c>
      <c r="O17" s="37">
        <v>31.496107781287957</v>
      </c>
      <c r="P17" s="37">
        <v>26.321301292516143</v>
      </c>
      <c r="Q17" s="37">
        <v>23.517162388459681</v>
      </c>
      <c r="R17" s="37">
        <v>22.459441386360538</v>
      </c>
      <c r="S17" s="37">
        <v>26.781716688049872</v>
      </c>
      <c r="T17" s="37">
        <v>25.238777973362353</v>
      </c>
      <c r="U17" s="37">
        <v>25.976106755209347</v>
      </c>
      <c r="V17" s="37">
        <v>22.757958641239249</v>
      </c>
      <c r="W17" s="37">
        <v>29.540436845496252</v>
      </c>
      <c r="X17" s="37">
        <v>32.835231998957127</v>
      </c>
      <c r="Y17" s="37">
        <v>19.488138647823384</v>
      </c>
      <c r="Z17" s="37">
        <v>21.0719982956895</v>
      </c>
      <c r="AA17" s="37">
        <v>25.418074860976773</v>
      </c>
      <c r="AB17" s="37">
        <v>21.494863806345027</v>
      </c>
      <c r="AC17" s="38">
        <v>22.922759978509593</v>
      </c>
      <c r="AD17" s="38">
        <v>25.478450045336043</v>
      </c>
      <c r="AE17" s="38">
        <v>20.66749450811842</v>
      </c>
      <c r="AF17" s="38">
        <v>20.676061016786967</v>
      </c>
      <c r="AG17" s="38">
        <v>18.755494414555788</v>
      </c>
      <c r="AH17" s="38">
        <v>18.34659204320894</v>
      </c>
      <c r="AI17" s="38">
        <v>17.633572029706308</v>
      </c>
      <c r="AJ17" s="38">
        <v>21.621393139325562</v>
      </c>
      <c r="AK17" s="38">
        <v>28.819287147019804</v>
      </c>
      <c r="AL17" s="38">
        <v>35.658910762728681</v>
      </c>
      <c r="AM17" s="123">
        <v>0.22614936457010471</v>
      </c>
      <c r="AN17" s="123">
        <v>0.33290611577671747</v>
      </c>
      <c r="AO17" s="123">
        <v>0.23732799429829621</v>
      </c>
    </row>
    <row r="18" spans="1:41" s="15" customFormat="1" ht="19.5" customHeight="1" x14ac:dyDescent="0.3">
      <c r="A18" s="11" t="s">
        <v>17</v>
      </c>
      <c r="B18" s="35">
        <v>0.47290329185821856</v>
      </c>
      <c r="C18" s="35">
        <v>0.3215967998281522</v>
      </c>
      <c r="D18" s="35">
        <v>0.23950384041232539</v>
      </c>
      <c r="E18" s="35">
        <v>0.20420780801093433</v>
      </c>
      <c r="F18" s="35">
        <v>0.10362447193568695</v>
      </c>
      <c r="G18" s="35">
        <v>0.12103832148003599</v>
      </c>
      <c r="H18" s="35">
        <v>7.6474234044830114E-2</v>
      </c>
      <c r="I18" s="35">
        <v>9.3191666146214408E-2</v>
      </c>
      <c r="J18" s="35">
        <v>0.19485706517782184</v>
      </c>
      <c r="K18" s="35">
        <v>3.112233889964652E-2</v>
      </c>
      <c r="L18" s="35">
        <v>7.5455635871971766E-2</v>
      </c>
      <c r="M18" s="35">
        <v>0.31677074947011258</v>
      </c>
      <c r="N18" s="35">
        <v>0.21447922608742775</v>
      </c>
      <c r="O18" s="35">
        <v>0.16191466984585001</v>
      </c>
      <c r="P18" s="35">
        <v>0.2188771646434341</v>
      </c>
      <c r="Q18" s="35">
        <v>0.40723744416267271</v>
      </c>
      <c r="R18" s="35">
        <v>0.39267712992314224</v>
      </c>
      <c r="S18" s="35">
        <v>0.18017593964572731</v>
      </c>
      <c r="T18" s="35">
        <v>0.19562411819385098</v>
      </c>
      <c r="U18" s="35">
        <v>0.25905226741373488</v>
      </c>
      <c r="V18" s="137" t="s">
        <v>118</v>
      </c>
      <c r="W18" s="137" t="s">
        <v>118</v>
      </c>
      <c r="X18" s="35">
        <v>0.34583522531325633</v>
      </c>
      <c r="Y18" s="35">
        <v>7.9459687276232843E-2</v>
      </c>
      <c r="Z18" s="35">
        <v>3.8452477248706547E-2</v>
      </c>
      <c r="AA18" s="35">
        <v>0.1108566411839521</v>
      </c>
      <c r="AB18" s="35">
        <v>0.12301146364112972</v>
      </c>
      <c r="AC18" s="36">
        <v>8.0818938181643513E-2</v>
      </c>
      <c r="AD18" s="36">
        <v>4.9019081903315206E-2</v>
      </c>
      <c r="AE18" s="36">
        <v>7.9993205400321635E-2</v>
      </c>
      <c r="AF18" s="36">
        <v>0.10321376882392817</v>
      </c>
      <c r="AG18" s="36">
        <v>0.1261549105345291</v>
      </c>
      <c r="AH18" s="36">
        <v>9.7170386124458608E-2</v>
      </c>
      <c r="AI18" s="36">
        <v>0.12606922023443415</v>
      </c>
      <c r="AJ18" s="36">
        <v>0.10777636524463141</v>
      </c>
      <c r="AK18" s="36">
        <v>0.12013607732229541</v>
      </c>
      <c r="AL18" s="36">
        <v>0.14905146933333335</v>
      </c>
      <c r="AM18" s="123">
        <v>-0.14510167474492153</v>
      </c>
      <c r="AN18" s="123">
        <v>0.11467924391038653</v>
      </c>
      <c r="AO18" s="123">
        <v>0.24068866451719662</v>
      </c>
    </row>
    <row r="19" spans="1:41" s="15" customFormat="1" ht="19.5" customHeight="1" x14ac:dyDescent="0.3">
      <c r="A19" s="16" t="s">
        <v>18</v>
      </c>
      <c r="B19" s="37">
        <v>14.640606760605111</v>
      </c>
      <c r="C19" s="37">
        <v>12.696868099154718</v>
      </c>
      <c r="D19" s="37">
        <v>13.953124024739791</v>
      </c>
      <c r="E19" s="37">
        <v>14.507209492629299</v>
      </c>
      <c r="F19" s="37">
        <v>12.723781806124538</v>
      </c>
      <c r="G19" s="37">
        <v>10.845380376846673</v>
      </c>
      <c r="H19" s="37">
        <v>16.490565527878591</v>
      </c>
      <c r="I19" s="37">
        <v>12.056771769485447</v>
      </c>
      <c r="J19" s="37">
        <v>12.576909168391085</v>
      </c>
      <c r="K19" s="37">
        <v>11.4437920447132</v>
      </c>
      <c r="L19" s="37">
        <v>12.069318806867235</v>
      </c>
      <c r="M19" s="37">
        <v>11.201786463665563</v>
      </c>
      <c r="N19" s="37">
        <v>8.8317705179162882</v>
      </c>
      <c r="O19" s="37">
        <v>9.020790426174873</v>
      </c>
      <c r="P19" s="37">
        <v>12.67477328141419</v>
      </c>
      <c r="Q19" s="37">
        <v>16.705169338064163</v>
      </c>
      <c r="R19" s="37">
        <v>15.62340712850702</v>
      </c>
      <c r="S19" s="37">
        <v>14.957940780501044</v>
      </c>
      <c r="T19" s="37">
        <v>13.935913375352866</v>
      </c>
      <c r="U19" s="37">
        <v>14.959687413163925</v>
      </c>
      <c r="V19" s="37">
        <v>14.960735672534261</v>
      </c>
      <c r="W19" s="37">
        <v>15.615677581790653</v>
      </c>
      <c r="X19" s="37">
        <v>14.82485522754688</v>
      </c>
      <c r="Y19" s="37">
        <v>13.455979896520615</v>
      </c>
      <c r="Z19" s="37">
        <v>14.404596441992544</v>
      </c>
      <c r="AA19" s="37">
        <v>15.359917961608081</v>
      </c>
      <c r="AB19" s="37">
        <v>13.644735553466171</v>
      </c>
      <c r="AC19" s="38">
        <v>11.467846878636445</v>
      </c>
      <c r="AD19" s="38">
        <v>21.482425341198905</v>
      </c>
      <c r="AE19" s="38">
        <v>16.219070664151189</v>
      </c>
      <c r="AF19" s="38">
        <v>13.30703258319587</v>
      </c>
      <c r="AG19" s="38">
        <v>13.245446607831223</v>
      </c>
      <c r="AH19" s="38">
        <v>12.482865196941923</v>
      </c>
      <c r="AI19" s="38">
        <v>14.729061882208079</v>
      </c>
      <c r="AJ19" s="38">
        <v>21.183164559353106</v>
      </c>
      <c r="AK19" s="38">
        <v>19.169170748507678</v>
      </c>
      <c r="AL19" s="38">
        <v>17.841673939349572</v>
      </c>
      <c r="AM19" s="123">
        <v>0.43818830613653947</v>
      </c>
      <c r="AN19" s="123">
        <v>-9.507520961763849E-2</v>
      </c>
      <c r="AO19" s="123">
        <v>-6.9251655513656085E-2</v>
      </c>
    </row>
    <row r="20" spans="1:41" s="15" customFormat="1" ht="19.5" customHeight="1" x14ac:dyDescent="0.3">
      <c r="A20" s="11" t="s">
        <v>19</v>
      </c>
      <c r="B20" s="35">
        <v>41.473400293364151</v>
      </c>
      <c r="C20" s="35">
        <v>37.157152746297911</v>
      </c>
      <c r="D20" s="35">
        <v>40.617613901034609</v>
      </c>
      <c r="E20" s="35">
        <v>48.492239377478228</v>
      </c>
      <c r="F20" s="35">
        <v>49.644712787437726</v>
      </c>
      <c r="G20" s="35">
        <v>42.864789778316045</v>
      </c>
      <c r="H20" s="35">
        <v>40.19603338994483</v>
      </c>
      <c r="I20" s="35">
        <v>37.910142464857266</v>
      </c>
      <c r="J20" s="35">
        <v>33.845009639384259</v>
      </c>
      <c r="K20" s="35">
        <v>33.562748581799596</v>
      </c>
      <c r="L20" s="35">
        <v>38.945700320656137</v>
      </c>
      <c r="M20" s="35">
        <v>40.710554815976259</v>
      </c>
      <c r="N20" s="35">
        <v>38.591063371884658</v>
      </c>
      <c r="O20" s="35">
        <v>46.742358722297951</v>
      </c>
      <c r="P20" s="35">
        <v>62.139140875580765</v>
      </c>
      <c r="Q20" s="35">
        <v>46.915653151112963</v>
      </c>
      <c r="R20" s="35">
        <v>35.460723564099645</v>
      </c>
      <c r="S20" s="35">
        <v>38.558506858926926</v>
      </c>
      <c r="T20" s="35">
        <v>57.059577994736678</v>
      </c>
      <c r="U20" s="35">
        <v>68.717991290252982</v>
      </c>
      <c r="V20" s="35">
        <v>46.479996173202913</v>
      </c>
      <c r="W20" s="35">
        <v>45.400140215838391</v>
      </c>
      <c r="X20" s="35">
        <v>60.569191086874227</v>
      </c>
      <c r="Y20" s="35">
        <v>74.95448816882805</v>
      </c>
      <c r="Z20" s="35">
        <v>78.601337020374828</v>
      </c>
      <c r="AA20" s="35">
        <v>74.518215461793687</v>
      </c>
      <c r="AB20" s="35">
        <v>78.253818001077349</v>
      </c>
      <c r="AC20" s="36">
        <v>74.409810345455156</v>
      </c>
      <c r="AD20" s="36">
        <v>85.433352132410221</v>
      </c>
      <c r="AE20" s="36">
        <v>78.200238242197926</v>
      </c>
      <c r="AF20" s="36">
        <v>98.661666189986434</v>
      </c>
      <c r="AG20" s="36">
        <v>124.51684167441181</v>
      </c>
      <c r="AH20" s="36">
        <v>133.93760079130232</v>
      </c>
      <c r="AI20" s="36">
        <v>150.49891587956643</v>
      </c>
      <c r="AJ20" s="36">
        <v>148.70129359192254</v>
      </c>
      <c r="AK20" s="36">
        <v>122.60335694983783</v>
      </c>
      <c r="AL20" s="36">
        <v>123.98464002080001</v>
      </c>
      <c r="AM20" s="123">
        <v>-1.194442017829811E-2</v>
      </c>
      <c r="AN20" s="123">
        <v>-0.17550578082867696</v>
      </c>
      <c r="AO20" s="123">
        <v>1.1266274475072668E-2</v>
      </c>
    </row>
    <row r="21" spans="1:41" s="15" customFormat="1" ht="19.5" customHeight="1" x14ac:dyDescent="0.3">
      <c r="A21" s="16" t="s">
        <v>79</v>
      </c>
      <c r="B21" s="37">
        <v>1.3182042101873603</v>
      </c>
      <c r="C21" s="37">
        <v>0.84784657487534354</v>
      </c>
      <c r="D21" s="37">
        <v>0.67859125173957491</v>
      </c>
      <c r="E21" s="37">
        <v>0.2644437120441494</v>
      </c>
      <c r="F21" s="37">
        <v>0.38891642350398842</v>
      </c>
      <c r="G21" s="37">
        <v>0.51111621826777687</v>
      </c>
      <c r="H21" s="37">
        <v>0.52165934184927898</v>
      </c>
      <c r="I21" s="37">
        <v>0.4363417416175136</v>
      </c>
      <c r="J21" s="37">
        <v>0.59195401617920096</v>
      </c>
      <c r="K21" s="37">
        <v>0.78144622274729025</v>
      </c>
      <c r="L21" s="37">
        <v>1.1463680205329339</v>
      </c>
      <c r="M21" s="37">
        <v>1.602335305411289</v>
      </c>
      <c r="N21" s="37">
        <v>0.84135893689816488</v>
      </c>
      <c r="O21" s="37">
        <v>0.95816857389579202</v>
      </c>
      <c r="P21" s="37">
        <v>1.0038515672524806</v>
      </c>
      <c r="Q21" s="37">
        <v>0.73386430706459205</v>
      </c>
      <c r="R21" s="37">
        <v>0.76906278389253224</v>
      </c>
      <c r="S21" s="37">
        <v>0.72775622274377449</v>
      </c>
      <c r="T21" s="37">
        <v>0.86830808044348173</v>
      </c>
      <c r="U21" s="37">
        <v>0.83769683120364413</v>
      </c>
      <c r="V21" s="37">
        <v>0.72431112016462162</v>
      </c>
      <c r="W21" s="37">
        <v>0.75741920595796641</v>
      </c>
      <c r="X21" s="37">
        <v>0.93304740204078918</v>
      </c>
      <c r="Y21" s="37">
        <v>1.0471648457385037</v>
      </c>
      <c r="Z21" s="37">
        <v>1.0553361221954614</v>
      </c>
      <c r="AA21" s="37">
        <v>1.4464369904810268</v>
      </c>
      <c r="AB21" s="37">
        <v>2.5133229227251825</v>
      </c>
      <c r="AC21" s="38">
        <v>2.415055171381606</v>
      </c>
      <c r="AD21" s="38">
        <v>2.4167727146672764</v>
      </c>
      <c r="AE21" s="140" t="s">
        <v>118</v>
      </c>
      <c r="AF21" s="140" t="s">
        <v>118</v>
      </c>
      <c r="AG21" s="140" t="s">
        <v>118</v>
      </c>
      <c r="AH21" s="140" t="s">
        <v>118</v>
      </c>
      <c r="AI21" s="140" t="s">
        <v>118</v>
      </c>
      <c r="AJ21" s="140" t="s">
        <v>118</v>
      </c>
      <c r="AK21" s="140" t="s">
        <v>118</v>
      </c>
      <c r="AL21" s="140" t="s">
        <v>118</v>
      </c>
      <c r="AM21" s="123" t="s">
        <v>118</v>
      </c>
      <c r="AN21" s="123" t="s">
        <v>118</v>
      </c>
      <c r="AO21" s="123" t="s">
        <v>118</v>
      </c>
    </row>
    <row r="22" spans="1:41" s="15" customFormat="1" ht="19.5" customHeight="1" x14ac:dyDescent="0.3">
      <c r="A22" s="11" t="s">
        <v>20</v>
      </c>
      <c r="B22" s="35">
        <v>60.934553811218457</v>
      </c>
      <c r="C22" s="35">
        <v>38.911630187350426</v>
      </c>
      <c r="D22" s="35">
        <v>35.721757662462778</v>
      </c>
      <c r="E22" s="35">
        <v>48.773358681522041</v>
      </c>
      <c r="F22" s="35">
        <v>56.269472359326485</v>
      </c>
      <c r="G22" s="35">
        <v>49.99879197249323</v>
      </c>
      <c r="H22" s="35">
        <v>40.905313709545908</v>
      </c>
      <c r="I22" s="35">
        <v>47.59441239295392</v>
      </c>
      <c r="J22" s="35">
        <v>58.198579635432637</v>
      </c>
      <c r="K22" s="35">
        <v>55.72152109207768</v>
      </c>
      <c r="L22" s="35">
        <v>57.984861140051194</v>
      </c>
      <c r="M22" s="35">
        <v>58.59364192262818</v>
      </c>
      <c r="N22" s="35">
        <v>75.98053573383757</v>
      </c>
      <c r="O22" s="35">
        <v>105.32593562137095</v>
      </c>
      <c r="P22" s="35">
        <v>130.00217797097244</v>
      </c>
      <c r="Q22" s="35">
        <v>121.52915506335162</v>
      </c>
      <c r="R22" s="35">
        <v>86.794800954354614</v>
      </c>
      <c r="S22" s="35">
        <v>75.86980441640425</v>
      </c>
      <c r="T22" s="35">
        <v>96.209759195680235</v>
      </c>
      <c r="U22" s="35">
        <v>125.58084336981277</v>
      </c>
      <c r="V22" s="35">
        <v>121.83697979571953</v>
      </c>
      <c r="W22" s="35">
        <v>119.36019551694393</v>
      </c>
      <c r="X22" s="35">
        <v>133.22257785958359</v>
      </c>
      <c r="Y22" s="35">
        <v>155.63054477478062</v>
      </c>
      <c r="Z22" s="35">
        <v>184.21986387192078</v>
      </c>
      <c r="AA22" s="35">
        <v>186.54560940141658</v>
      </c>
      <c r="AB22" s="35">
        <v>205.10566882216833</v>
      </c>
      <c r="AC22" s="36">
        <v>206.42264190522977</v>
      </c>
      <c r="AD22" s="36">
        <v>210.78790538354227</v>
      </c>
      <c r="AE22" s="36">
        <v>236.26599725163354</v>
      </c>
      <c r="AF22" s="36">
        <v>213.5717746501646</v>
      </c>
      <c r="AG22" s="36">
        <v>305.08487363607952</v>
      </c>
      <c r="AH22" s="36">
        <v>389.21238258162253</v>
      </c>
      <c r="AI22" s="36">
        <v>342.36147915740514</v>
      </c>
      <c r="AJ22" s="36">
        <v>350.51940464400587</v>
      </c>
      <c r="AK22" s="36">
        <v>291.28323842402364</v>
      </c>
      <c r="AL22" s="36">
        <v>339.24607844268763</v>
      </c>
      <c r="AM22" s="123">
        <v>2.382839771191092E-2</v>
      </c>
      <c r="AN22" s="123">
        <v>-0.16899539778730255</v>
      </c>
      <c r="AO22" s="123">
        <v>0.16466048742854222</v>
      </c>
    </row>
    <row r="23" spans="1:41" s="15" customFormat="1" ht="19.5" customHeight="1" x14ac:dyDescent="0.3">
      <c r="A23" s="16" t="s">
        <v>21</v>
      </c>
      <c r="B23" s="37">
        <v>8.3786420678490909</v>
      </c>
      <c r="C23" s="37">
        <v>10.334606429238058</v>
      </c>
      <c r="D23" s="37">
        <v>8.3534693105605591</v>
      </c>
      <c r="E23" s="37">
        <v>6.4898709145074625</v>
      </c>
      <c r="F23" s="37">
        <v>7.0765315896353105</v>
      </c>
      <c r="G23" s="37">
        <v>11.759872322500549</v>
      </c>
      <c r="H23" s="37">
        <v>10.253416741443264</v>
      </c>
      <c r="I23" s="37">
        <v>8.1033552702192253</v>
      </c>
      <c r="J23" s="37">
        <v>7.1287991627438156</v>
      </c>
      <c r="K23" s="37">
        <v>8.9927862025295546</v>
      </c>
      <c r="L23" s="37">
        <v>9.0615137690730112</v>
      </c>
      <c r="M23" s="37">
        <v>8.2263606813923662</v>
      </c>
      <c r="N23" s="37">
        <v>7.5668331849621735</v>
      </c>
      <c r="O23" s="37">
        <v>9.1675991677697244</v>
      </c>
      <c r="P23" s="37">
        <v>10.892281641063844</v>
      </c>
      <c r="Q23" s="37">
        <v>11.938832763330845</v>
      </c>
      <c r="R23" s="37">
        <v>11.307998393920913</v>
      </c>
      <c r="S23" s="37">
        <v>9.8027460262548534</v>
      </c>
      <c r="T23" s="37">
        <v>10.952398264108144</v>
      </c>
      <c r="U23" s="37">
        <v>12.143224151716115</v>
      </c>
      <c r="V23" s="37">
        <v>14.407655934640792</v>
      </c>
      <c r="W23" s="37">
        <v>14.333918534068392</v>
      </c>
      <c r="X23" s="37">
        <v>15.738608572768374</v>
      </c>
      <c r="Y23" s="37">
        <v>14.74958099408885</v>
      </c>
      <c r="Z23" s="37">
        <v>28.083637812802742</v>
      </c>
      <c r="AA23" s="37">
        <v>29.497728701441559</v>
      </c>
      <c r="AB23" s="37">
        <v>27.349925927066284</v>
      </c>
      <c r="AC23" s="38">
        <v>15.592177529911417</v>
      </c>
      <c r="AD23" s="38">
        <v>14.729831161140407</v>
      </c>
      <c r="AE23" s="38">
        <v>15.563084145214647</v>
      </c>
      <c r="AF23" s="38">
        <v>16.062948856745312</v>
      </c>
      <c r="AG23" s="38">
        <v>13.952340044058147</v>
      </c>
      <c r="AH23" s="38">
        <v>12.305037569105197</v>
      </c>
      <c r="AI23" s="38">
        <v>15.158026363598669</v>
      </c>
      <c r="AJ23" s="38">
        <v>18.673998957209797</v>
      </c>
      <c r="AK23" s="38">
        <v>19.445070823894852</v>
      </c>
      <c r="AL23" s="38">
        <v>12.776074429874532</v>
      </c>
      <c r="AM23" s="123">
        <v>0.231954511047334</v>
      </c>
      <c r="AN23" s="123">
        <v>4.1291202192519805E-2</v>
      </c>
      <c r="AO23" s="123">
        <v>-0.34296590917144931</v>
      </c>
    </row>
    <row r="24" spans="1:41" s="15" customFormat="1" ht="19.5" customHeight="1" x14ac:dyDescent="0.3">
      <c r="A24" s="11" t="s">
        <v>22</v>
      </c>
      <c r="B24" s="35">
        <v>11.039610213259161</v>
      </c>
      <c r="C24" s="35">
        <v>4.8958792013444103</v>
      </c>
      <c r="D24" s="35">
        <v>4.4178844406732196</v>
      </c>
      <c r="E24" s="35">
        <v>5.3039159689888926</v>
      </c>
      <c r="F24" s="35">
        <v>3.4816758099094276</v>
      </c>
      <c r="G24" s="35">
        <v>2.9588200529879427</v>
      </c>
      <c r="H24" s="35">
        <v>2.1408002274920017</v>
      </c>
      <c r="I24" s="35">
        <v>5.5237232770780365</v>
      </c>
      <c r="J24" s="35">
        <v>3.0681978502797498</v>
      </c>
      <c r="K24" s="35">
        <v>2.7531257577156687</v>
      </c>
      <c r="L24" s="35">
        <v>3.4404558159754233</v>
      </c>
      <c r="M24" s="35">
        <v>2.3354397369278193</v>
      </c>
      <c r="N24" s="35">
        <v>4.7791308834214714</v>
      </c>
      <c r="O24" s="35">
        <v>5.7681867425577424</v>
      </c>
      <c r="P24" s="35">
        <v>11.368515457346968</v>
      </c>
      <c r="Q24" s="35">
        <v>8.8545422722983744</v>
      </c>
      <c r="R24" s="35">
        <v>5.6431413681803866</v>
      </c>
      <c r="S24" s="35">
        <v>2.9089196257176035</v>
      </c>
      <c r="T24" s="35">
        <v>5.9537529154268096</v>
      </c>
      <c r="U24" s="35">
        <v>9.0399823176198506</v>
      </c>
      <c r="V24" s="35">
        <v>6.2544394690948995</v>
      </c>
      <c r="W24" s="35">
        <v>7.0058799113310517</v>
      </c>
      <c r="X24" s="35">
        <v>6.0361813581126906</v>
      </c>
      <c r="Y24" s="35">
        <v>7.2351052778447986</v>
      </c>
      <c r="Z24" s="35">
        <v>9.6515720078546714</v>
      </c>
      <c r="AA24" s="35">
        <v>8.2505336183725824</v>
      </c>
      <c r="AB24" s="35">
        <v>6.7962525319077711</v>
      </c>
      <c r="AC24" s="36">
        <v>8.8970478260527806</v>
      </c>
      <c r="AD24" s="36">
        <v>4.521420818783076</v>
      </c>
      <c r="AE24" s="36">
        <v>7.2838001058896387</v>
      </c>
      <c r="AF24" s="36">
        <v>6.9638062619230059</v>
      </c>
      <c r="AG24" s="36">
        <v>10.1148740215451</v>
      </c>
      <c r="AH24" s="36">
        <v>13.285192976009215</v>
      </c>
      <c r="AI24" s="36">
        <v>18.69697134657843</v>
      </c>
      <c r="AJ24" s="36">
        <v>10.902662659731957</v>
      </c>
      <c r="AK24" s="36">
        <v>11.390841330304374</v>
      </c>
      <c r="AL24" s="36">
        <v>11.422657254239999</v>
      </c>
      <c r="AM24" s="123">
        <v>-0.41687546835080547</v>
      </c>
      <c r="AN24" s="123">
        <v>4.4776096060961557E-2</v>
      </c>
      <c r="AO24" s="123">
        <v>2.793114486721926E-3</v>
      </c>
    </row>
    <row r="25" spans="1:41" s="15" customFormat="1" ht="19.5" customHeight="1" x14ac:dyDescent="0.3">
      <c r="A25" s="16" t="s">
        <v>23</v>
      </c>
      <c r="B25" s="37">
        <v>2.3506795188713236</v>
      </c>
      <c r="C25" s="37">
        <v>2.7027678976644327</v>
      </c>
      <c r="D25" s="37">
        <v>1.178235296333676</v>
      </c>
      <c r="E25" s="37">
        <v>0.2609519966268477</v>
      </c>
      <c r="F25" s="37">
        <v>0.36929923672955922</v>
      </c>
      <c r="G25" s="37">
        <v>1.3567503016322879</v>
      </c>
      <c r="H25" s="37">
        <v>2.3213701324444771</v>
      </c>
      <c r="I25" s="37">
        <v>0.99709926781779079</v>
      </c>
      <c r="J25" s="37">
        <v>1.6713201976967551</v>
      </c>
      <c r="K25" s="37">
        <v>5.359686229798692</v>
      </c>
      <c r="L25" s="37">
        <v>4.4348633583547565</v>
      </c>
      <c r="M25" s="37">
        <v>1.7489808001687828</v>
      </c>
      <c r="N25" s="37">
        <v>3.6185326673569271</v>
      </c>
      <c r="O25" s="37">
        <v>3.4172609446268547</v>
      </c>
      <c r="P25" s="37">
        <v>4.4569752069494601</v>
      </c>
      <c r="Q25" s="37">
        <v>8.2198567410165104</v>
      </c>
      <c r="R25" s="37">
        <v>3.3457395199424664</v>
      </c>
      <c r="S25" s="37">
        <v>2.925162345365016</v>
      </c>
      <c r="T25" s="37">
        <v>6.5014103994321575</v>
      </c>
      <c r="U25" s="37">
        <v>3.2101797425123757</v>
      </c>
      <c r="V25" s="37">
        <v>10.246543099168358</v>
      </c>
      <c r="W25" s="37">
        <v>8.2171479149207958</v>
      </c>
      <c r="X25" s="37">
        <v>11.165499656636658</v>
      </c>
      <c r="Y25" s="37">
        <v>9.371385607220736</v>
      </c>
      <c r="Z25" s="37">
        <v>8.191648523547908</v>
      </c>
      <c r="AA25" s="37">
        <v>8.4911245773660422</v>
      </c>
      <c r="AB25" s="37">
        <v>7.0835347650172835</v>
      </c>
      <c r="AC25" s="38">
        <v>6.171960976642084</v>
      </c>
      <c r="AD25" s="38">
        <v>10.177586302746054</v>
      </c>
      <c r="AE25" s="38">
        <v>8.6642559012210025</v>
      </c>
      <c r="AF25" s="38">
        <v>8.4532405258897967</v>
      </c>
      <c r="AG25" s="38">
        <v>7.3727830681387188</v>
      </c>
      <c r="AH25" s="38">
        <v>7.2226172050515443</v>
      </c>
      <c r="AI25" s="38">
        <v>6.594818755360663</v>
      </c>
      <c r="AJ25" s="38">
        <v>7.9904341582859288</v>
      </c>
      <c r="AK25" s="38">
        <v>8.973002426873391</v>
      </c>
      <c r="AL25" s="38">
        <v>10.200023306666669</v>
      </c>
      <c r="AM25" s="123">
        <v>0.21162301113898341</v>
      </c>
      <c r="AN25" s="123">
        <v>0.12296807021037237</v>
      </c>
      <c r="AO25" s="123">
        <v>0.13674585399848471</v>
      </c>
    </row>
    <row r="26" spans="1:41" s="15" customFormat="1" ht="19.5" customHeight="1" x14ac:dyDescent="0.3">
      <c r="A26" s="11" t="s">
        <v>80</v>
      </c>
      <c r="B26" s="137" t="s">
        <v>118</v>
      </c>
      <c r="C26" s="137" t="s">
        <v>118</v>
      </c>
      <c r="D26" s="137" t="s">
        <v>118</v>
      </c>
      <c r="E26" s="137" t="s">
        <v>118</v>
      </c>
      <c r="F26" s="137" t="s">
        <v>118</v>
      </c>
      <c r="G26" s="137" t="s">
        <v>118</v>
      </c>
      <c r="H26" s="137" t="s">
        <v>118</v>
      </c>
      <c r="I26" s="137" t="s">
        <v>118</v>
      </c>
      <c r="J26" s="137" t="s">
        <v>118</v>
      </c>
      <c r="K26" s="137" t="s">
        <v>118</v>
      </c>
      <c r="L26" s="137" t="s">
        <v>118</v>
      </c>
      <c r="M26" s="137" t="s">
        <v>118</v>
      </c>
      <c r="N26" s="137" t="s">
        <v>118</v>
      </c>
      <c r="O26" s="137" t="s">
        <v>118</v>
      </c>
      <c r="P26" s="137" t="s">
        <v>118</v>
      </c>
      <c r="Q26" s="137" t="s">
        <v>118</v>
      </c>
      <c r="R26" s="137" t="s">
        <v>118</v>
      </c>
      <c r="S26" s="137" t="s">
        <v>118</v>
      </c>
      <c r="T26" s="137" t="s">
        <v>118</v>
      </c>
      <c r="U26" s="137" t="s">
        <v>118</v>
      </c>
      <c r="V26" s="137" t="s">
        <v>118</v>
      </c>
      <c r="W26" s="137" t="s">
        <v>118</v>
      </c>
      <c r="X26" s="35">
        <v>6.1534202560220033</v>
      </c>
      <c r="Y26" s="35">
        <v>6.5738524137159997</v>
      </c>
      <c r="Z26" s="35">
        <v>7.1511282614082425</v>
      </c>
      <c r="AA26" s="35">
        <v>7.9802873732004613</v>
      </c>
      <c r="AB26" s="35">
        <v>6.9373159549877137</v>
      </c>
      <c r="AC26" s="36">
        <v>7.7423852532717135</v>
      </c>
      <c r="AD26" s="36">
        <v>6.0772098644910209</v>
      </c>
      <c r="AE26" s="139" t="s">
        <v>118</v>
      </c>
      <c r="AF26" s="139" t="s">
        <v>118</v>
      </c>
      <c r="AG26" s="139" t="s">
        <v>118</v>
      </c>
      <c r="AH26" s="139" t="s">
        <v>118</v>
      </c>
      <c r="AI26" s="139" t="s">
        <v>118</v>
      </c>
      <c r="AJ26" s="139" t="s">
        <v>118</v>
      </c>
      <c r="AK26" s="139" t="s">
        <v>118</v>
      </c>
      <c r="AL26" s="139" t="s">
        <v>118</v>
      </c>
      <c r="AM26" s="123" t="s">
        <v>118</v>
      </c>
      <c r="AN26" s="123" t="s">
        <v>118</v>
      </c>
      <c r="AO26" s="123" t="s">
        <v>118</v>
      </c>
    </row>
    <row r="27" spans="1:41" s="10" customFormat="1" ht="19.5" customHeight="1" thickBot="1" x14ac:dyDescent="0.35">
      <c r="A27" s="39" t="s">
        <v>24</v>
      </c>
      <c r="B27" s="40">
        <v>290.85778480378309</v>
      </c>
      <c r="C27" s="40">
        <v>256.73130180066966</v>
      </c>
      <c r="D27" s="40">
        <v>255.32106432694661</v>
      </c>
      <c r="E27" s="40">
        <v>275.54331430992374</v>
      </c>
      <c r="F27" s="40">
        <v>266.10377708852315</v>
      </c>
      <c r="G27" s="40">
        <v>280.29057832055622</v>
      </c>
      <c r="H27" s="40">
        <v>261.14084906072378</v>
      </c>
      <c r="I27" s="40">
        <v>240.31130815737569</v>
      </c>
      <c r="J27" s="40">
        <v>290.58533157138004</v>
      </c>
      <c r="K27" s="40">
        <v>302.51341385847576</v>
      </c>
      <c r="L27" s="40">
        <v>302.40320153438751</v>
      </c>
      <c r="M27" s="40">
        <v>279.22534838972467</v>
      </c>
      <c r="N27" s="40">
        <v>310.16772259924488</v>
      </c>
      <c r="O27" s="40">
        <v>370.50605211564482</v>
      </c>
      <c r="P27" s="40">
        <v>420.52153914498882</v>
      </c>
      <c r="Q27" s="40">
        <v>417.44263099527433</v>
      </c>
      <c r="R27" s="40">
        <v>352.92891167487744</v>
      </c>
      <c r="S27" s="40">
        <v>355.08497623222434</v>
      </c>
      <c r="T27" s="40">
        <v>401.00376510254569</v>
      </c>
      <c r="U27" s="40">
        <v>460.45133748613159</v>
      </c>
      <c r="V27" s="40">
        <v>437.36778570101399</v>
      </c>
      <c r="W27" s="40">
        <v>453.59873094259837</v>
      </c>
      <c r="X27" s="40">
        <v>526.79885324554766</v>
      </c>
      <c r="Y27" s="40">
        <v>555.44563721380143</v>
      </c>
      <c r="Z27" s="40">
        <v>604.32839973723094</v>
      </c>
      <c r="AA27" s="40">
        <v>612.10357937047195</v>
      </c>
      <c r="AB27" s="40">
        <v>614.32451926870954</v>
      </c>
      <c r="AC27" s="41">
        <v>622.09280063464587</v>
      </c>
      <c r="AD27" s="41">
        <v>624.67564750855377</v>
      </c>
      <c r="AE27" s="41">
        <v>603.40162404757905</v>
      </c>
      <c r="AF27" s="41">
        <v>594.72431009607169</v>
      </c>
      <c r="AG27" s="41">
        <v>724.98288093431245</v>
      </c>
      <c r="AH27" s="41">
        <v>820.33563776815549</v>
      </c>
      <c r="AI27" s="41">
        <v>824.95788288145297</v>
      </c>
      <c r="AJ27" s="41">
        <v>857.67188767851314</v>
      </c>
      <c r="AK27" s="41">
        <v>820.19549746327743</v>
      </c>
      <c r="AL27" s="41">
        <v>874.79702586013286</v>
      </c>
      <c r="AM27" s="123">
        <v>3.9655363596011739E-2</v>
      </c>
      <c r="AN27" s="123">
        <v>-4.3695486296833397E-2</v>
      </c>
      <c r="AO27" s="123">
        <v>6.6571358372154554E-2</v>
      </c>
    </row>
    <row r="28" spans="1:41" s="15" customFormat="1" ht="19.5" customHeight="1" thickTop="1" x14ac:dyDescent="0.3">
      <c r="A28" s="11" t="s">
        <v>25</v>
      </c>
      <c r="B28" s="137" t="s">
        <v>118</v>
      </c>
      <c r="C28" s="137" t="s">
        <v>118</v>
      </c>
      <c r="D28" s="137" t="s">
        <v>118</v>
      </c>
      <c r="E28" s="137" t="s">
        <v>118</v>
      </c>
      <c r="F28" s="137" t="s">
        <v>118</v>
      </c>
      <c r="G28" s="137" t="s">
        <v>118</v>
      </c>
      <c r="H28" s="137" t="s">
        <v>118</v>
      </c>
      <c r="I28" s="137" t="s">
        <v>118</v>
      </c>
      <c r="J28" s="137" t="s">
        <v>118</v>
      </c>
      <c r="K28" s="137" t="s">
        <v>118</v>
      </c>
      <c r="L28" s="137" t="s">
        <v>118</v>
      </c>
      <c r="M28" s="35">
        <v>59.510469035757978</v>
      </c>
      <c r="N28" s="35">
        <v>65.783274702802302</v>
      </c>
      <c r="O28" s="35">
        <v>69.808482858717042</v>
      </c>
      <c r="P28" s="35">
        <v>70.454942237604726</v>
      </c>
      <c r="Q28" s="35">
        <v>79.27012781928876</v>
      </c>
      <c r="R28" s="35">
        <v>76.959961584648482</v>
      </c>
      <c r="S28" s="35">
        <v>79.903387670719823</v>
      </c>
      <c r="T28" s="35">
        <v>86.836518368599755</v>
      </c>
      <c r="U28" s="35">
        <v>95.877730204071426</v>
      </c>
      <c r="V28" s="35">
        <v>94.877708059287215</v>
      </c>
      <c r="W28" s="35">
        <v>100.02966319658233</v>
      </c>
      <c r="X28" s="35">
        <v>105.7469439668652</v>
      </c>
      <c r="Y28" s="35">
        <v>107.32312222305238</v>
      </c>
      <c r="Z28" s="35">
        <v>116.30030418802176</v>
      </c>
      <c r="AA28" s="35">
        <v>133.60786363285993</v>
      </c>
      <c r="AB28" s="35">
        <v>138.20613224364718</v>
      </c>
      <c r="AC28" s="36">
        <v>129.36745376410661</v>
      </c>
      <c r="AD28" s="36">
        <v>126.95180924369765</v>
      </c>
      <c r="AE28" s="36">
        <v>127.80253791636592</v>
      </c>
      <c r="AF28" s="36">
        <v>136.84842674491762</v>
      </c>
      <c r="AG28" s="36">
        <v>156.97362343235096</v>
      </c>
      <c r="AH28" s="36">
        <v>160.07171771612897</v>
      </c>
      <c r="AI28" s="36">
        <v>156.19634508078633</v>
      </c>
      <c r="AJ28" s="36">
        <v>149.12141786239596</v>
      </c>
      <c r="AK28" s="36">
        <v>151.93627509256962</v>
      </c>
      <c r="AL28" s="36">
        <v>180.48378501869689</v>
      </c>
      <c r="AM28" s="123">
        <v>-4.5295088145187679E-2</v>
      </c>
      <c r="AN28" s="123">
        <v>1.8876277268038866E-2</v>
      </c>
      <c r="AO28" s="123">
        <v>0.1878913373961173</v>
      </c>
    </row>
    <row r="29" spans="1:41" s="15" customFormat="1" ht="19.5" customHeight="1" x14ac:dyDescent="0.3">
      <c r="A29" s="16" t="s">
        <v>26</v>
      </c>
      <c r="B29" s="138" t="s">
        <v>118</v>
      </c>
      <c r="C29" s="138" t="s">
        <v>118</v>
      </c>
      <c r="D29" s="138" t="s">
        <v>118</v>
      </c>
      <c r="E29" s="138" t="s">
        <v>118</v>
      </c>
      <c r="F29" s="138" t="s">
        <v>118</v>
      </c>
      <c r="G29" s="138" t="s">
        <v>118</v>
      </c>
      <c r="H29" s="138" t="s">
        <v>118</v>
      </c>
      <c r="I29" s="138" t="s">
        <v>118</v>
      </c>
      <c r="J29" s="138" t="s">
        <v>118</v>
      </c>
      <c r="K29" s="138" t="s">
        <v>118</v>
      </c>
      <c r="L29" s="138" t="s">
        <v>118</v>
      </c>
      <c r="M29" s="37">
        <v>10.775280308355638</v>
      </c>
      <c r="N29" s="37">
        <v>12.92734714545831</v>
      </c>
      <c r="O29" s="37">
        <v>13.249491378627855</v>
      </c>
      <c r="P29" s="37">
        <v>14.160232845400966</v>
      </c>
      <c r="Q29" s="37">
        <v>15.920546192989104</v>
      </c>
      <c r="R29" s="37">
        <v>18.458468467723293</v>
      </c>
      <c r="S29" s="37">
        <v>16.236879204878473</v>
      </c>
      <c r="T29" s="37">
        <v>17.362241162509733</v>
      </c>
      <c r="U29" s="37">
        <v>20.558667445100014</v>
      </c>
      <c r="V29" s="37">
        <v>20.781673694431497</v>
      </c>
      <c r="W29" s="37">
        <v>22.861924677723735</v>
      </c>
      <c r="X29" s="37">
        <v>22.897754169267643</v>
      </c>
      <c r="Y29" s="37">
        <v>21.499833278533544</v>
      </c>
      <c r="Z29" s="37">
        <v>24.893553771330861</v>
      </c>
      <c r="AA29" s="37">
        <v>26.146237862683179</v>
      </c>
      <c r="AB29" s="37">
        <v>27.942223009453343</v>
      </c>
      <c r="AC29" s="38">
        <v>25.786607906706259</v>
      </c>
      <c r="AD29" s="38">
        <v>38.440517890676084</v>
      </c>
      <c r="AE29" s="38">
        <v>30.585493983286746</v>
      </c>
      <c r="AF29" s="38">
        <v>37.863142487349208</v>
      </c>
      <c r="AG29" s="38">
        <v>50.904080239107962</v>
      </c>
      <c r="AH29" s="38">
        <v>47.29080320362749</v>
      </c>
      <c r="AI29" s="38">
        <v>41.262842439471839</v>
      </c>
      <c r="AJ29" s="38">
        <v>47.209675036684857</v>
      </c>
      <c r="AK29" s="38">
        <v>52.520937949841255</v>
      </c>
      <c r="AL29" s="38">
        <v>62.737759627994571</v>
      </c>
      <c r="AM29" s="123">
        <v>0.14412076933227236</v>
      </c>
      <c r="AN29" s="123">
        <v>0.11250369567316909</v>
      </c>
      <c r="AO29" s="123">
        <v>0.19452854569944322</v>
      </c>
    </row>
    <row r="30" spans="1:41" s="15" customFormat="1" ht="19.5" customHeight="1" x14ac:dyDescent="0.3">
      <c r="A30" s="11" t="s">
        <v>27</v>
      </c>
      <c r="B30" s="137" t="s">
        <v>118</v>
      </c>
      <c r="C30" s="137" t="s">
        <v>118</v>
      </c>
      <c r="D30" s="137" t="s">
        <v>118</v>
      </c>
      <c r="E30" s="137" t="s">
        <v>118</v>
      </c>
      <c r="F30" s="137" t="s">
        <v>118</v>
      </c>
      <c r="G30" s="137" t="s">
        <v>118</v>
      </c>
      <c r="H30" s="137" t="s">
        <v>118</v>
      </c>
      <c r="I30" s="137" t="s">
        <v>118</v>
      </c>
      <c r="J30" s="137" t="s">
        <v>118</v>
      </c>
      <c r="K30" s="137" t="s">
        <v>118</v>
      </c>
      <c r="L30" s="137" t="s">
        <v>118</v>
      </c>
      <c r="M30" s="35">
        <v>29.725930402049549</v>
      </c>
      <c r="N30" s="35">
        <v>31.022452269125946</v>
      </c>
      <c r="O30" s="35">
        <v>35.228508713026535</v>
      </c>
      <c r="P30" s="35">
        <v>40.104597153111087</v>
      </c>
      <c r="Q30" s="35">
        <v>42.611906917292984</v>
      </c>
      <c r="R30" s="35">
        <v>50.43429869715537</v>
      </c>
      <c r="S30" s="35">
        <v>46.14065900277452</v>
      </c>
      <c r="T30" s="35">
        <v>62.122612868286012</v>
      </c>
      <c r="U30" s="35">
        <v>69.992939163815507</v>
      </c>
      <c r="V30" s="35">
        <v>66.905835011343584</v>
      </c>
      <c r="W30" s="35">
        <v>65.703246146026288</v>
      </c>
      <c r="X30" s="35">
        <v>70.672350020318106</v>
      </c>
      <c r="Y30" s="35">
        <v>71.170305394501511</v>
      </c>
      <c r="Z30" s="35">
        <v>78.958221061053862</v>
      </c>
      <c r="AA30" s="35">
        <v>76.534011013155563</v>
      </c>
      <c r="AB30" s="35">
        <v>81.467098243746861</v>
      </c>
      <c r="AC30" s="36">
        <v>83.146978832221549</v>
      </c>
      <c r="AD30" s="36">
        <v>75.627007662318277</v>
      </c>
      <c r="AE30" s="36">
        <v>75.186202178019002</v>
      </c>
      <c r="AF30" s="36">
        <v>87.619248159432217</v>
      </c>
      <c r="AG30" s="36">
        <v>86.423645578692259</v>
      </c>
      <c r="AH30" s="36">
        <v>100.863934379871</v>
      </c>
      <c r="AI30" s="36">
        <v>98.309048223717554</v>
      </c>
      <c r="AJ30" s="36">
        <v>94.993386586462648</v>
      </c>
      <c r="AK30" s="36">
        <v>101.74291539071565</v>
      </c>
      <c r="AL30" s="36">
        <v>100.72793120666999</v>
      </c>
      <c r="AM30" s="123">
        <v>-3.372692236537167E-2</v>
      </c>
      <c r="AN30" s="123">
        <v>7.1052617943140772E-2</v>
      </c>
      <c r="AO30" s="123">
        <v>-9.9759691389605942E-3</v>
      </c>
    </row>
    <row r="31" spans="1:41" s="15" customFormat="1" ht="19.5" customHeight="1" x14ac:dyDescent="0.3">
      <c r="A31" s="16" t="s">
        <v>28</v>
      </c>
      <c r="B31" s="138" t="s">
        <v>118</v>
      </c>
      <c r="C31" s="138" t="s">
        <v>118</v>
      </c>
      <c r="D31" s="138" t="s">
        <v>118</v>
      </c>
      <c r="E31" s="138" t="s">
        <v>118</v>
      </c>
      <c r="F31" s="138" t="s">
        <v>118</v>
      </c>
      <c r="G31" s="138" t="s">
        <v>118</v>
      </c>
      <c r="H31" s="138" t="s">
        <v>118</v>
      </c>
      <c r="I31" s="138" t="s">
        <v>118</v>
      </c>
      <c r="J31" s="138" t="s">
        <v>118</v>
      </c>
      <c r="K31" s="138" t="s">
        <v>118</v>
      </c>
      <c r="L31" s="138" t="s">
        <v>118</v>
      </c>
      <c r="M31" s="37">
        <v>23.506004772624021</v>
      </c>
      <c r="N31" s="37">
        <v>22.619388312423062</v>
      </c>
      <c r="O31" s="37">
        <v>22.903955172160273</v>
      </c>
      <c r="P31" s="37">
        <v>25.222205303257795</v>
      </c>
      <c r="Q31" s="37">
        <v>25.778318675968983</v>
      </c>
      <c r="R31" s="37">
        <v>28.993308389587288</v>
      </c>
      <c r="S31" s="37">
        <v>27.693586215852172</v>
      </c>
      <c r="T31" s="37">
        <v>34.045117113001417</v>
      </c>
      <c r="U31" s="37">
        <v>38.298841622201735</v>
      </c>
      <c r="V31" s="37">
        <v>39.0460903345719</v>
      </c>
      <c r="W31" s="37">
        <v>43.120923503504393</v>
      </c>
      <c r="X31" s="37">
        <v>44.452567010604731</v>
      </c>
      <c r="Y31" s="37">
        <v>46.451214966591913</v>
      </c>
      <c r="Z31" s="37">
        <v>53.753237096424137</v>
      </c>
      <c r="AA31" s="37">
        <v>58.046317312277473</v>
      </c>
      <c r="AB31" s="37">
        <v>52.396723866428815</v>
      </c>
      <c r="AC31" s="38">
        <v>48.618153993156199</v>
      </c>
      <c r="AD31" s="38">
        <v>54.17063206228098</v>
      </c>
      <c r="AE31" s="38">
        <v>53.365433452279042</v>
      </c>
      <c r="AF31" s="38">
        <v>52.870881219315869</v>
      </c>
      <c r="AG31" s="38">
        <v>54.358628119395576</v>
      </c>
      <c r="AH31" s="38">
        <v>54.418585311700078</v>
      </c>
      <c r="AI31" s="38">
        <v>59.414168679397051</v>
      </c>
      <c r="AJ31" s="38">
        <v>66.811403073090318</v>
      </c>
      <c r="AK31" s="38">
        <v>65.844332947789113</v>
      </c>
      <c r="AL31" s="38">
        <v>69.052627777777772</v>
      </c>
      <c r="AM31" s="123">
        <v>0.12450286788677056</v>
      </c>
      <c r="AN31" s="123">
        <v>-1.4474626797513102E-2</v>
      </c>
      <c r="AO31" s="123">
        <v>4.8725451171821588E-2</v>
      </c>
    </row>
    <row r="32" spans="1:41" s="15" customFormat="1" ht="19.5" customHeight="1" x14ac:dyDescent="0.3">
      <c r="A32" s="11" t="s">
        <v>29</v>
      </c>
      <c r="B32" s="137" t="s">
        <v>118</v>
      </c>
      <c r="C32" s="137" t="s">
        <v>118</v>
      </c>
      <c r="D32" s="137" t="s">
        <v>118</v>
      </c>
      <c r="E32" s="137" t="s">
        <v>118</v>
      </c>
      <c r="F32" s="137" t="s">
        <v>118</v>
      </c>
      <c r="G32" s="137" t="s">
        <v>118</v>
      </c>
      <c r="H32" s="137" t="s">
        <v>118</v>
      </c>
      <c r="I32" s="137" t="s">
        <v>118</v>
      </c>
      <c r="J32" s="137" t="s">
        <v>118</v>
      </c>
      <c r="K32" s="137" t="s">
        <v>118</v>
      </c>
      <c r="L32" s="137" t="s">
        <v>118</v>
      </c>
      <c r="M32" s="35">
        <v>9.1907017941895326</v>
      </c>
      <c r="N32" s="35">
        <v>9.056681492204973</v>
      </c>
      <c r="O32" s="35">
        <v>9.3309061802053481</v>
      </c>
      <c r="P32" s="35">
        <v>11.286838679931167</v>
      </c>
      <c r="Q32" s="35">
        <v>11.43934087250037</v>
      </c>
      <c r="R32" s="35">
        <v>11.517106155101759</v>
      </c>
      <c r="S32" s="35">
        <v>10.940087069659805</v>
      </c>
      <c r="T32" s="35">
        <v>11.627002100897078</v>
      </c>
      <c r="U32" s="35">
        <v>12.551094949308588</v>
      </c>
      <c r="V32" s="35">
        <v>12.520231830924656</v>
      </c>
      <c r="W32" s="35">
        <v>12.177346973505689</v>
      </c>
      <c r="X32" s="35">
        <v>14.349037159044494</v>
      </c>
      <c r="Y32" s="35">
        <v>16.820586095813649</v>
      </c>
      <c r="Z32" s="35">
        <v>19.783181059893383</v>
      </c>
      <c r="AA32" s="35">
        <v>22.227179797093235</v>
      </c>
      <c r="AB32" s="35">
        <v>22.631141390400938</v>
      </c>
      <c r="AC32" s="36">
        <v>24.398535665223228</v>
      </c>
      <c r="AD32" s="36">
        <v>20.106353962512447</v>
      </c>
      <c r="AE32" s="36">
        <v>18.289838122343923</v>
      </c>
      <c r="AF32" s="36">
        <v>18.520729606449947</v>
      </c>
      <c r="AG32" s="36">
        <v>20.339449102799055</v>
      </c>
      <c r="AH32" s="36">
        <v>19.060159590798705</v>
      </c>
      <c r="AI32" s="36">
        <v>21.147850675966328</v>
      </c>
      <c r="AJ32" s="36">
        <v>26.058686309546474</v>
      </c>
      <c r="AK32" s="36">
        <v>25.42911991515189</v>
      </c>
      <c r="AL32" s="36">
        <v>22.045251705880951</v>
      </c>
      <c r="AM32" s="123">
        <v>0.23221440839664664</v>
      </c>
      <c r="AN32" s="123">
        <v>-2.4159559960777677E-2</v>
      </c>
      <c r="AO32" s="123">
        <v>-0.13307059861142378</v>
      </c>
    </row>
    <row r="33" spans="1:62" s="10" customFormat="1" ht="19.5" customHeight="1" thickBot="1" x14ac:dyDescent="0.35">
      <c r="A33" s="39" t="s">
        <v>30</v>
      </c>
      <c r="B33" s="141" t="s">
        <v>118</v>
      </c>
      <c r="C33" s="141" t="s">
        <v>118</v>
      </c>
      <c r="D33" s="141" t="s">
        <v>118</v>
      </c>
      <c r="E33" s="141" t="s">
        <v>118</v>
      </c>
      <c r="F33" s="141" t="s">
        <v>118</v>
      </c>
      <c r="G33" s="141" t="s">
        <v>118</v>
      </c>
      <c r="H33" s="141" t="s">
        <v>118</v>
      </c>
      <c r="I33" s="141" t="s">
        <v>118</v>
      </c>
      <c r="J33" s="141" t="s">
        <v>118</v>
      </c>
      <c r="K33" s="141" t="s">
        <v>118</v>
      </c>
      <c r="L33" s="141" t="s">
        <v>118</v>
      </c>
      <c r="M33" s="40">
        <v>132.70838631297673</v>
      </c>
      <c r="N33" s="40">
        <v>141.40914392201461</v>
      </c>
      <c r="O33" s="40">
        <v>150.52134430273705</v>
      </c>
      <c r="P33" s="40">
        <v>161.22881621930577</v>
      </c>
      <c r="Q33" s="40">
        <v>175.02024047804022</v>
      </c>
      <c r="R33" s="40">
        <v>186.36314329421623</v>
      </c>
      <c r="S33" s="40">
        <v>180.91459916388479</v>
      </c>
      <c r="T33" s="40">
        <v>211.993491613294</v>
      </c>
      <c r="U33" s="40">
        <v>237.27927338449726</v>
      </c>
      <c r="V33" s="40">
        <v>234.13153893055883</v>
      </c>
      <c r="W33" s="40">
        <v>243.89310449734245</v>
      </c>
      <c r="X33" s="40">
        <v>258.11865232610018</v>
      </c>
      <c r="Y33" s="40">
        <v>263.26506195849299</v>
      </c>
      <c r="Z33" s="40">
        <v>293.68849717672396</v>
      </c>
      <c r="AA33" s="40">
        <v>316.56160961806944</v>
      </c>
      <c r="AB33" s="40">
        <v>322.64331875367719</v>
      </c>
      <c r="AC33" s="41">
        <v>311.31773016141381</v>
      </c>
      <c r="AD33" s="41">
        <v>315.29632082148544</v>
      </c>
      <c r="AE33" s="41">
        <v>305.22950565229462</v>
      </c>
      <c r="AF33" s="41">
        <v>333.72242821746488</v>
      </c>
      <c r="AG33" s="41">
        <v>368.99942647234582</v>
      </c>
      <c r="AH33" s="41">
        <v>381.70520020212626</v>
      </c>
      <c r="AI33" s="41">
        <v>376.33025509933913</v>
      </c>
      <c r="AJ33" s="41">
        <v>384.19456886818028</v>
      </c>
      <c r="AK33" s="41">
        <v>397.47358129606749</v>
      </c>
      <c r="AL33" s="41">
        <v>435.04735533702018</v>
      </c>
      <c r="AM33" s="123">
        <v>2.0897373151051113E-2</v>
      </c>
      <c r="AN33" s="123">
        <v>3.4563248686743764E-2</v>
      </c>
      <c r="AO33" s="123">
        <v>9.4531500479688502E-2</v>
      </c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</row>
    <row r="34" spans="1:62" s="10" customFormat="1" ht="19.5" customHeight="1" thickTop="1" thickBot="1" x14ac:dyDescent="0.35">
      <c r="A34" s="42" t="s">
        <v>31</v>
      </c>
      <c r="B34" s="43">
        <v>290.85778480378309</v>
      </c>
      <c r="C34" s="43">
        <v>256.73130180066966</v>
      </c>
      <c r="D34" s="43">
        <v>255.32106432694661</v>
      </c>
      <c r="E34" s="43">
        <v>275.54331430992374</v>
      </c>
      <c r="F34" s="43">
        <v>266.10377708852315</v>
      </c>
      <c r="G34" s="43">
        <v>280.29057832055622</v>
      </c>
      <c r="H34" s="43">
        <v>261.14084906072378</v>
      </c>
      <c r="I34" s="43">
        <v>240.31130815737569</v>
      </c>
      <c r="J34" s="43">
        <v>290.58533157138004</v>
      </c>
      <c r="K34" s="43">
        <v>302.51341385847576</v>
      </c>
      <c r="L34" s="43">
        <v>302.40320153438751</v>
      </c>
      <c r="M34" s="43">
        <v>411.93373470270137</v>
      </c>
      <c r="N34" s="43">
        <v>451.57686652125949</v>
      </c>
      <c r="O34" s="43">
        <v>521.02739641838184</v>
      </c>
      <c r="P34" s="43">
        <v>581.75035536429459</v>
      </c>
      <c r="Q34" s="43">
        <v>592.46287147331452</v>
      </c>
      <c r="R34" s="43">
        <v>539.29205496909367</v>
      </c>
      <c r="S34" s="43">
        <v>535.99957539610909</v>
      </c>
      <c r="T34" s="43">
        <v>612.99725671583974</v>
      </c>
      <c r="U34" s="43">
        <v>697.73061087062888</v>
      </c>
      <c r="V34" s="43">
        <v>671.49932463157279</v>
      </c>
      <c r="W34" s="43">
        <v>697.49183543994081</v>
      </c>
      <c r="X34" s="43">
        <v>784.91750557164778</v>
      </c>
      <c r="Y34" s="43">
        <v>818.71069917229443</v>
      </c>
      <c r="Z34" s="43">
        <v>898.01689691395495</v>
      </c>
      <c r="AA34" s="43">
        <v>928.66518898854133</v>
      </c>
      <c r="AB34" s="43">
        <v>936.96783802238679</v>
      </c>
      <c r="AC34" s="44">
        <v>933.41053079605967</v>
      </c>
      <c r="AD34" s="44">
        <v>939.9719683300392</v>
      </c>
      <c r="AE34" s="44">
        <v>908.63112969987367</v>
      </c>
      <c r="AF34" s="44">
        <v>928.44673831353657</v>
      </c>
      <c r="AG34" s="44">
        <v>1093.9823074066583</v>
      </c>
      <c r="AH34" s="44">
        <v>1202.0408379702817</v>
      </c>
      <c r="AI34" s="44">
        <v>1201.288137980792</v>
      </c>
      <c r="AJ34" s="44">
        <v>1241.8664565466934</v>
      </c>
      <c r="AK34" s="44">
        <v>1217.669078759345</v>
      </c>
      <c r="AL34" s="44">
        <v>1309.8443811971531</v>
      </c>
      <c r="AM34" s="123">
        <v>3.3779005455017774E-2</v>
      </c>
      <c r="AN34" s="123">
        <v>-1.9484685861179463E-2</v>
      </c>
      <c r="AO34" s="123">
        <v>7.5698154815365237E-2</v>
      </c>
    </row>
    <row r="35" spans="1:62" s="30" customFormat="1" ht="15" thickTop="1" x14ac:dyDescent="0.2">
      <c r="A35" s="148" t="s">
        <v>129</v>
      </c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  <c r="AA35" s="148"/>
      <c r="AB35" s="148"/>
      <c r="AC35" s="148"/>
      <c r="AD35" s="148"/>
      <c r="AE35" s="148"/>
      <c r="AF35" s="148"/>
      <c r="AG35" s="148"/>
      <c r="AH35" s="148"/>
      <c r="AI35" s="148"/>
      <c r="AJ35" s="148"/>
      <c r="AK35" s="148"/>
      <c r="AL35" s="128"/>
    </row>
    <row r="36" spans="1:62" s="30" customFormat="1" ht="14.25" x14ac:dyDescent="0.2">
      <c r="A36" s="142" t="s">
        <v>130</v>
      </c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28"/>
    </row>
    <row r="37" spans="1:62" s="30" customFormat="1" ht="29.25" customHeight="1" x14ac:dyDescent="0.2">
      <c r="A37" s="142" t="s">
        <v>125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28"/>
    </row>
    <row r="38" spans="1:62" s="2" customFormat="1" ht="30.75" customHeight="1" x14ac:dyDescent="0.25">
      <c r="A38" s="142" t="s">
        <v>32</v>
      </c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28"/>
    </row>
    <row r="39" spans="1:62" s="2" customFormat="1" ht="14.25" customHeight="1" x14ac:dyDescent="0.25">
      <c r="A39" s="142" t="s">
        <v>33</v>
      </c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28"/>
    </row>
    <row r="40" spans="1:62" s="2" customFormat="1" ht="14.25" x14ac:dyDescent="0.25">
      <c r="A40" s="143" t="s">
        <v>34</v>
      </c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31"/>
    </row>
    <row r="41" spans="1:62" s="2" customFormat="1" ht="14.25" x14ac:dyDescent="0.25">
      <c r="A41" s="30" t="s">
        <v>131</v>
      </c>
      <c r="B41" s="30"/>
      <c r="C41" s="30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</row>
    <row r="42" spans="1:62" s="2" customFormat="1" ht="14.25" x14ac:dyDescent="0.25">
      <c r="A42" s="30" t="s">
        <v>132</v>
      </c>
      <c r="B42" s="30"/>
      <c r="C42" s="30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</row>
    <row r="43" spans="1:62" s="2" customFormat="1" ht="14.25" x14ac:dyDescent="0.25">
      <c r="A43" s="30" t="s">
        <v>122</v>
      </c>
      <c r="B43" s="131"/>
      <c r="C43" s="30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</row>
    <row r="44" spans="1:62" s="2" customFormat="1" ht="14.25" x14ac:dyDescent="0.25">
      <c r="A44" s="131" t="s">
        <v>35</v>
      </c>
      <c r="B44" s="131"/>
      <c r="C44" s="30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</row>
    <row r="45" spans="1:62" s="2" customFormat="1" ht="14.25" x14ac:dyDescent="0.25">
      <c r="A45" s="131" t="s">
        <v>36</v>
      </c>
      <c r="B45" s="131"/>
      <c r="C45" s="30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</row>
    <row r="46" spans="1:62" s="2" customFormat="1" ht="14.25" x14ac:dyDescent="0.25">
      <c r="A46" s="131" t="s">
        <v>126</v>
      </c>
      <c r="B46" s="131"/>
      <c r="C46" s="30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</row>
    <row r="47" spans="1:62" ht="17.25" customHeight="1" x14ac:dyDescent="0.3">
      <c r="A47" s="147" t="s">
        <v>37</v>
      </c>
      <c r="B47" s="147"/>
      <c r="C47" s="147"/>
      <c r="D47" s="147"/>
      <c r="E47" s="147"/>
      <c r="F47" s="147"/>
      <c r="G47" s="147"/>
      <c r="H47" s="147"/>
      <c r="I47" s="147"/>
      <c r="J47" s="147"/>
      <c r="K47" s="147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28"/>
      <c r="AM47" s="3"/>
      <c r="AN47" s="3"/>
      <c r="AO47" s="3"/>
    </row>
  </sheetData>
  <mergeCells count="8">
    <mergeCell ref="A2:AI2"/>
    <mergeCell ref="A47:AK47"/>
    <mergeCell ref="A39:AK39"/>
    <mergeCell ref="A40:AK40"/>
    <mergeCell ref="A38:AK38"/>
    <mergeCell ref="A37:AK37"/>
    <mergeCell ref="A36:AK36"/>
    <mergeCell ref="A35:AK35"/>
  </mergeCells>
  <phoneticPr fontId="3" type="noConversion"/>
  <pageMargins left="0.51181102362204722" right="0.51181102362204722" top="0.78740157480314965" bottom="0.78740157480314965" header="0.31496062992125984" footer="0.31496062992125984"/>
  <pageSetup paperSize="9" scale="7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42"/>
  <sheetViews>
    <sheetView showGridLines="0" zoomScale="80" zoomScaleNormal="80" workbookViewId="0">
      <selection activeCell="A4" sqref="A4"/>
    </sheetView>
  </sheetViews>
  <sheetFormatPr defaultColWidth="8.85546875" defaultRowHeight="17.25" x14ac:dyDescent="0.3"/>
  <cols>
    <col min="1" max="1" width="17.28515625" style="3" customWidth="1"/>
    <col min="2" max="2" width="17.85546875" style="3" bestFit="1" customWidth="1"/>
    <col min="3" max="3" width="10.5703125" style="3" bestFit="1" customWidth="1"/>
    <col min="4" max="16384" width="8.85546875" style="3"/>
  </cols>
  <sheetData>
    <row r="1" spans="1:13" ht="18" customHeight="1" x14ac:dyDescent="0.3">
      <c r="A1" s="124" t="s">
        <v>82</v>
      </c>
      <c r="B1" s="124"/>
      <c r="C1" s="124"/>
      <c r="D1" s="125"/>
      <c r="E1" s="125"/>
      <c r="F1" s="125"/>
      <c r="G1" s="125"/>
      <c r="H1" s="125"/>
      <c r="I1" s="125"/>
      <c r="J1" s="125"/>
      <c r="K1" s="125"/>
      <c r="L1" s="125"/>
      <c r="M1" s="15"/>
    </row>
    <row r="2" spans="1:13" ht="18" customHeight="1" x14ac:dyDescent="0.3">
      <c r="A2" s="124" t="s">
        <v>83</v>
      </c>
      <c r="B2" s="124"/>
      <c r="C2" s="124"/>
      <c r="D2" s="125"/>
      <c r="E2" s="125"/>
      <c r="F2" s="125"/>
      <c r="G2" s="125"/>
      <c r="H2" s="125"/>
      <c r="I2" s="125"/>
      <c r="J2" s="125"/>
      <c r="K2" s="125"/>
      <c r="L2" s="125"/>
      <c r="M2" s="15"/>
    </row>
    <row r="3" spans="1:13" x14ac:dyDescent="0.3">
      <c r="A3" s="110"/>
    </row>
    <row r="4" spans="1:13" ht="35.25" thickBot="1" x14ac:dyDescent="0.35">
      <c r="A4" s="111" t="s">
        <v>84</v>
      </c>
      <c r="B4" s="112" t="s">
        <v>85</v>
      </c>
      <c r="C4" s="113" t="s">
        <v>86</v>
      </c>
    </row>
    <row r="5" spans="1:13" ht="16.5" customHeight="1" thickTop="1" x14ac:dyDescent="0.3">
      <c r="A5" s="114">
        <v>1990</v>
      </c>
      <c r="B5" s="115">
        <v>100</v>
      </c>
      <c r="C5" s="116" t="s">
        <v>118</v>
      </c>
    </row>
    <row r="6" spans="1:13" ht="16.5" customHeight="1" x14ac:dyDescent="0.3">
      <c r="A6" s="117">
        <v>1991</v>
      </c>
      <c r="B6" s="118">
        <v>100.27530507723812</v>
      </c>
      <c r="C6" s="119">
        <v>0.27530507723811581</v>
      </c>
    </row>
    <row r="7" spans="1:13" ht="16.5" customHeight="1" x14ac:dyDescent="0.3">
      <c r="A7" s="120">
        <v>1992</v>
      </c>
      <c r="B7" s="115">
        <v>106.20337614689583</v>
      </c>
      <c r="C7" s="121">
        <v>5.911795596225371</v>
      </c>
    </row>
    <row r="8" spans="1:13" ht="16.5" customHeight="1" x14ac:dyDescent="0.3">
      <c r="A8" s="117">
        <v>1993</v>
      </c>
      <c r="B8" s="118">
        <v>104.57013107177708</v>
      </c>
      <c r="C8" s="119">
        <v>-1.5378466621058433</v>
      </c>
    </row>
    <row r="9" spans="1:13" ht="16.5" customHeight="1" x14ac:dyDescent="0.3">
      <c r="A9" s="120">
        <v>1994</v>
      </c>
      <c r="B9" s="115">
        <v>114.16378114998278</v>
      </c>
      <c r="C9" s="121">
        <v>9.1743693728571518</v>
      </c>
    </row>
    <row r="10" spans="1:13" ht="16.5" customHeight="1" x14ac:dyDescent="0.3">
      <c r="A10" s="117">
        <v>1995</v>
      </c>
      <c r="B10" s="118">
        <v>115.0243365219558</v>
      </c>
      <c r="C10" s="119">
        <v>0.75379018047980173</v>
      </c>
    </row>
    <row r="11" spans="1:13" ht="16.5" customHeight="1" x14ac:dyDescent="0.3">
      <c r="A11" s="120">
        <v>1996</v>
      </c>
      <c r="B11" s="115">
        <v>106.55186735424465</v>
      </c>
      <c r="C11" s="121">
        <v>-7.3658057276374134</v>
      </c>
    </row>
    <row r="12" spans="1:13" ht="16.5" customHeight="1" x14ac:dyDescent="0.3">
      <c r="A12" s="117">
        <v>1997</v>
      </c>
      <c r="B12" s="118">
        <v>114.03726174297621</v>
      </c>
      <c r="C12" s="119">
        <v>7.0251179773747747</v>
      </c>
    </row>
    <row r="13" spans="1:13" ht="16.5" customHeight="1" x14ac:dyDescent="0.3">
      <c r="A13" s="120">
        <v>1998</v>
      </c>
      <c r="B13" s="115">
        <v>117.31915303619954</v>
      </c>
      <c r="C13" s="121">
        <v>2.8779113449954994</v>
      </c>
    </row>
    <row r="14" spans="1:13" ht="16.5" customHeight="1" x14ac:dyDescent="0.3">
      <c r="A14" s="117">
        <v>1999</v>
      </c>
      <c r="B14" s="118">
        <v>124.73428473228039</v>
      </c>
      <c r="C14" s="119">
        <v>6.3204783738873953</v>
      </c>
    </row>
    <row r="15" spans="1:13" ht="16.5" customHeight="1" x14ac:dyDescent="0.3">
      <c r="A15" s="120">
        <v>2000</v>
      </c>
      <c r="B15" s="115">
        <v>128.2930427050309</v>
      </c>
      <c r="C15" s="121">
        <v>2.8530712148538346</v>
      </c>
    </row>
    <row r="16" spans="1:13" ht="16.5" customHeight="1" x14ac:dyDescent="0.3">
      <c r="A16" s="117">
        <v>2001</v>
      </c>
      <c r="B16" s="118">
        <v>136.97467822597082</v>
      </c>
      <c r="C16" s="119">
        <v>6.7670353262262122</v>
      </c>
    </row>
    <row r="17" spans="1:3" ht="16.5" customHeight="1" x14ac:dyDescent="0.3">
      <c r="A17" s="120">
        <v>2002</v>
      </c>
      <c r="B17" s="115">
        <v>139.51013982605832</v>
      </c>
      <c r="C17" s="121">
        <v>1.8510440272067528</v>
      </c>
    </row>
    <row r="18" spans="1:3" ht="16.5" customHeight="1" x14ac:dyDescent="0.3">
      <c r="A18" s="117">
        <v>2003</v>
      </c>
      <c r="B18" s="118">
        <v>153.86772745036896</v>
      </c>
      <c r="C18" s="119">
        <v>10.291429456103854</v>
      </c>
    </row>
    <row r="19" spans="1:3" ht="16.5" customHeight="1" x14ac:dyDescent="0.3">
      <c r="A19" s="120">
        <v>2004</v>
      </c>
      <c r="B19" s="115">
        <v>159.64137908018984</v>
      </c>
      <c r="C19" s="121">
        <v>3.7523473736123156</v>
      </c>
    </row>
    <row r="20" spans="1:3" ht="16.5" customHeight="1" x14ac:dyDescent="0.3">
      <c r="A20" s="117">
        <v>2005</v>
      </c>
      <c r="B20" s="118">
        <v>157.13592812127436</v>
      </c>
      <c r="C20" s="119">
        <v>-1.5694245272442526</v>
      </c>
    </row>
    <row r="21" spans="1:3" ht="16.5" customHeight="1" x14ac:dyDescent="0.3">
      <c r="A21" s="120">
        <v>2006</v>
      </c>
      <c r="B21" s="115">
        <v>164.85795860548876</v>
      </c>
      <c r="C21" s="121">
        <v>4.9142360862594661</v>
      </c>
    </row>
    <row r="22" spans="1:3" ht="16.5" customHeight="1" x14ac:dyDescent="0.3">
      <c r="A22" s="117">
        <v>2007</v>
      </c>
      <c r="B22" s="118">
        <v>180.78064006776765</v>
      </c>
      <c r="C22" s="119">
        <v>9.6584244988635692</v>
      </c>
    </row>
    <row r="23" spans="1:3" ht="16.5" customHeight="1" x14ac:dyDescent="0.3">
      <c r="A23" s="120">
        <v>2008</v>
      </c>
      <c r="B23" s="115">
        <v>196.90957977720942</v>
      </c>
      <c r="C23" s="121">
        <v>8.9218290760535268</v>
      </c>
    </row>
    <row r="24" spans="1:3" ht="16.5" customHeight="1" x14ac:dyDescent="0.3">
      <c r="A24" s="117">
        <v>2009</v>
      </c>
      <c r="B24" s="118">
        <v>190.30947676981953</v>
      </c>
      <c r="C24" s="119">
        <v>-3.3518445445150431</v>
      </c>
    </row>
    <row r="25" spans="1:3" ht="16.5" customHeight="1" x14ac:dyDescent="0.3">
      <c r="A25" s="120">
        <v>2010</v>
      </c>
      <c r="B25" s="115">
        <v>203.58132140625628</v>
      </c>
      <c r="C25" s="121">
        <v>6.9738222508430994</v>
      </c>
    </row>
    <row r="26" spans="1:3" ht="16.5" customHeight="1" x14ac:dyDescent="0.3">
      <c r="A26" s="117">
        <v>2011</v>
      </c>
      <c r="B26" s="118">
        <v>217.04060018402259</v>
      </c>
      <c r="C26" s="119">
        <v>6.6112542569205939</v>
      </c>
    </row>
    <row r="27" spans="1:3" ht="16.5" customHeight="1" x14ac:dyDescent="0.3">
      <c r="A27" s="120">
        <v>2012</v>
      </c>
      <c r="B27" s="115">
        <v>210.93205316011404</v>
      </c>
      <c r="C27" s="121">
        <v>-2.8144720475013858</v>
      </c>
    </row>
    <row r="28" spans="1:3" ht="16.5" customHeight="1" x14ac:dyDescent="0.3">
      <c r="A28" s="117">
        <v>2013</v>
      </c>
      <c r="B28" s="118">
        <v>228.00911847668428</v>
      </c>
      <c r="C28" s="119">
        <v>8.0960029832959552</v>
      </c>
    </row>
    <row r="29" spans="1:3" ht="16.5" customHeight="1" x14ac:dyDescent="0.3">
      <c r="A29" s="120">
        <v>2014</v>
      </c>
      <c r="B29" s="115">
        <v>232.56171197227314</v>
      </c>
      <c r="C29" s="121">
        <v>1.9966716796260078</v>
      </c>
    </row>
    <row r="30" spans="1:3" ht="16.5" customHeight="1" x14ac:dyDescent="0.3">
      <c r="A30" s="117">
        <v>2015</v>
      </c>
      <c r="B30" s="118">
        <v>242.31800918291268</v>
      </c>
      <c r="C30" s="119">
        <v>4.1951433569609735</v>
      </c>
    </row>
    <row r="31" spans="1:3" ht="16.5" customHeight="1" x14ac:dyDescent="0.3">
      <c r="A31" s="120">
        <v>2016</v>
      </c>
      <c r="B31" s="115">
        <v>228.23864268484809</v>
      </c>
      <c r="C31" s="121">
        <v>-5.8102848176822217</v>
      </c>
    </row>
    <row r="32" spans="1:3" ht="16.5" customHeight="1" x14ac:dyDescent="0.3">
      <c r="A32" s="117">
        <v>2017</v>
      </c>
      <c r="B32" s="118">
        <v>253.8258521235316</v>
      </c>
      <c r="C32" s="119">
        <v>11.210726254630918</v>
      </c>
    </row>
    <row r="33" spans="1:12" ht="16.5" customHeight="1" x14ac:dyDescent="0.3">
      <c r="A33" s="120">
        <v>2018</v>
      </c>
      <c r="B33" s="115">
        <v>245.13449547955108</v>
      </c>
      <c r="C33" s="121">
        <v>-3.4241416196450429</v>
      </c>
    </row>
    <row r="34" spans="1:12" ht="16.5" customHeight="1" x14ac:dyDescent="0.3">
      <c r="A34" s="117">
        <v>2019</v>
      </c>
      <c r="B34" s="118">
        <v>248.61895382494558</v>
      </c>
      <c r="C34" s="119">
        <v>1.421447576595833</v>
      </c>
    </row>
    <row r="35" spans="1:12" ht="16.5" customHeight="1" x14ac:dyDescent="0.3">
      <c r="A35" s="120">
        <v>2020</v>
      </c>
      <c r="B35" s="115">
        <v>258.84777688038417</v>
      </c>
      <c r="C35" s="121">
        <v>4.1142571385127722</v>
      </c>
    </row>
    <row r="36" spans="1:12" ht="16.5" customHeight="1" x14ac:dyDescent="0.3">
      <c r="A36" s="117">
        <v>2021</v>
      </c>
      <c r="B36" s="118">
        <v>254.98782385273259</v>
      </c>
      <c r="C36" s="119">
        <v>-1.4912057867258806</v>
      </c>
    </row>
    <row r="37" spans="1:12" ht="16.5" customHeight="1" x14ac:dyDescent="0.3">
      <c r="A37" s="120">
        <v>2022</v>
      </c>
      <c r="B37" s="115">
        <v>256.90396455429726</v>
      </c>
      <c r="C37" s="121">
        <v>0.75146360818833946</v>
      </c>
    </row>
    <row r="38" spans="1:12" ht="16.5" customHeight="1" x14ac:dyDescent="0.3">
      <c r="A38" s="117">
        <v>2023</v>
      </c>
      <c r="B38" s="118">
        <v>298.2714335326695</v>
      </c>
      <c r="C38" s="119">
        <v>16.102308522229571</v>
      </c>
    </row>
    <row r="39" spans="1:12" ht="16.5" customHeight="1" x14ac:dyDescent="0.3">
      <c r="A39" s="120">
        <v>2024</v>
      </c>
      <c r="B39" s="115">
        <v>284.83170946973451</v>
      </c>
      <c r="C39" s="121">
        <v>-4.5058703422441404</v>
      </c>
    </row>
    <row r="40" spans="1:12" x14ac:dyDescent="0.3">
      <c r="A40" s="149" t="s">
        <v>87</v>
      </c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</row>
    <row r="41" spans="1:12" x14ac:dyDescent="0.3">
      <c r="A41" s="149" t="s">
        <v>134</v>
      </c>
      <c r="B41" s="149"/>
      <c r="C41" s="149"/>
      <c r="D41" s="149"/>
      <c r="E41" s="149"/>
      <c r="F41" s="149"/>
      <c r="G41" s="149"/>
      <c r="H41" s="149"/>
      <c r="I41" s="149"/>
      <c r="J41" s="149"/>
      <c r="K41" s="149"/>
      <c r="L41" s="149"/>
    </row>
    <row r="42" spans="1:12" x14ac:dyDescent="0.3">
      <c r="A42" s="149" t="s">
        <v>88</v>
      </c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</row>
  </sheetData>
  <mergeCells count="3">
    <mergeCell ref="A42:L42"/>
    <mergeCell ref="A41:L41"/>
    <mergeCell ref="A40:L40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8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V34"/>
  <sheetViews>
    <sheetView showGridLines="0" zoomScale="80" zoomScaleNormal="80" workbookViewId="0">
      <pane xSplit="1" ySplit="3" topLeftCell="B4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defaultColWidth="9.140625" defaultRowHeight="17.45" customHeight="1" x14ac:dyDescent="0.3"/>
  <cols>
    <col min="1" max="1" width="27.28515625" style="3" customWidth="1"/>
    <col min="2" max="7" width="20.5703125" style="3" bestFit="1" customWidth="1"/>
    <col min="8" max="8" width="10.140625" style="3" bestFit="1" customWidth="1"/>
    <col min="9" max="9" width="10.28515625" style="3" bestFit="1" customWidth="1"/>
    <col min="10" max="10" width="9.5703125" style="3" bestFit="1" customWidth="1"/>
    <col min="11" max="11" width="9.140625" style="3" bestFit="1" customWidth="1"/>
    <col min="12" max="12" width="10.28515625" style="3" bestFit="1" customWidth="1"/>
    <col min="13" max="16384" width="9.140625" style="3"/>
  </cols>
  <sheetData>
    <row r="1" spans="1:12" ht="17.45" customHeight="1" x14ac:dyDescent="0.3">
      <c r="A1" s="150" t="s">
        <v>89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</row>
    <row r="2" spans="1:12" ht="17.45" customHeight="1" x14ac:dyDescent="0.3">
      <c r="B2" s="151" t="s">
        <v>90</v>
      </c>
      <c r="C2" s="151"/>
      <c r="D2" s="151"/>
      <c r="E2" s="151"/>
      <c r="F2" s="151"/>
      <c r="G2" s="151"/>
      <c r="H2" s="151" t="s">
        <v>91</v>
      </c>
      <c r="I2" s="151"/>
      <c r="J2" s="151"/>
      <c r="K2" s="151"/>
      <c r="L2" s="151"/>
    </row>
    <row r="3" spans="1:12" s="10" customFormat="1" ht="19.5" customHeight="1" thickBot="1" x14ac:dyDescent="0.35">
      <c r="A3" s="63" t="s">
        <v>3</v>
      </c>
      <c r="B3" s="64">
        <v>45414</v>
      </c>
      <c r="C3" s="65">
        <v>45445</v>
      </c>
      <c r="D3" s="65">
        <v>45475</v>
      </c>
      <c r="E3" s="65">
        <v>45506</v>
      </c>
      <c r="F3" s="65">
        <v>45537</v>
      </c>
      <c r="G3" s="66">
        <v>45567</v>
      </c>
      <c r="H3" s="64" t="s">
        <v>92</v>
      </c>
      <c r="I3" s="65" t="s">
        <v>93</v>
      </c>
      <c r="J3" s="65" t="s">
        <v>119</v>
      </c>
      <c r="K3" s="67" t="s">
        <v>120</v>
      </c>
      <c r="L3" s="66" t="s">
        <v>128</v>
      </c>
    </row>
    <row r="4" spans="1:12" s="15" customFormat="1" ht="19.5" customHeight="1" thickTop="1" x14ac:dyDescent="0.3">
      <c r="A4" s="68" t="s">
        <v>94</v>
      </c>
      <c r="B4" s="69">
        <v>33821938054.833824</v>
      </c>
      <c r="C4" s="70">
        <v>33468629997.509003</v>
      </c>
      <c r="D4" s="70">
        <v>33682773322.661728</v>
      </c>
      <c r="E4" s="70">
        <v>33806443736.332481</v>
      </c>
      <c r="F4" s="70">
        <v>33874519859.271214</v>
      </c>
      <c r="G4" s="71">
        <v>33973854169.116123</v>
      </c>
      <c r="H4" s="72">
        <v>-1.0446120998507613</v>
      </c>
      <c r="I4" s="73">
        <v>0.63983295751472991</v>
      </c>
      <c r="J4" s="73">
        <v>0.36716220628882912</v>
      </c>
      <c r="K4" s="74">
        <v>0.20137025790019081</v>
      </c>
      <c r="L4" s="75">
        <v>0.29324197142155395</v>
      </c>
    </row>
    <row r="5" spans="1:12" s="15" customFormat="1" ht="19.5" customHeight="1" x14ac:dyDescent="0.3">
      <c r="A5" s="76" t="s">
        <v>8</v>
      </c>
      <c r="B5" s="77">
        <v>4979691713.2931261</v>
      </c>
      <c r="C5" s="78">
        <v>4872641537.5976391</v>
      </c>
      <c r="D5" s="78">
        <v>4845525666.2584219</v>
      </c>
      <c r="E5" s="78">
        <v>4931265180.4193239</v>
      </c>
      <c r="F5" s="78">
        <v>4223683847.3665338</v>
      </c>
      <c r="G5" s="79">
        <v>4365783886.9367123</v>
      </c>
      <c r="H5" s="80">
        <v>-2.1497350008579885</v>
      </c>
      <c r="I5" s="81">
        <v>-0.55649222562319522</v>
      </c>
      <c r="J5" s="81">
        <v>1.7694574348856573</v>
      </c>
      <c r="K5" s="82">
        <v>-14.348880199393822</v>
      </c>
      <c r="L5" s="83">
        <v>3.3643625968543533</v>
      </c>
    </row>
    <row r="6" spans="1:12" s="15" customFormat="1" ht="19.5" customHeight="1" x14ac:dyDescent="0.3">
      <c r="A6" s="68" t="s">
        <v>9</v>
      </c>
      <c r="B6" s="69">
        <v>24960769928.413113</v>
      </c>
      <c r="C6" s="70">
        <v>24986446286.183445</v>
      </c>
      <c r="D6" s="70">
        <v>24550631490.203671</v>
      </c>
      <c r="E6" s="70">
        <v>24671690883.484798</v>
      </c>
      <c r="F6" s="70">
        <v>24849238487.385307</v>
      </c>
      <c r="G6" s="71">
        <v>24989211827.377388</v>
      </c>
      <c r="H6" s="84">
        <v>0.10286685003695339</v>
      </c>
      <c r="I6" s="85">
        <v>-1.7442048020280598</v>
      </c>
      <c r="J6" s="85">
        <v>0.49310093440746439</v>
      </c>
      <c r="K6" s="86">
        <v>0.71964100368717698</v>
      </c>
      <c r="L6" s="87">
        <v>0.56329025963164359</v>
      </c>
    </row>
    <row r="7" spans="1:12" s="15" customFormat="1" ht="19.5" customHeight="1" x14ac:dyDescent="0.3">
      <c r="A7" s="76" t="s">
        <v>10</v>
      </c>
      <c r="B7" s="77">
        <v>24086284295.638855</v>
      </c>
      <c r="C7" s="78">
        <v>23390457452.207603</v>
      </c>
      <c r="D7" s="78">
        <v>22827472016.751385</v>
      </c>
      <c r="E7" s="78">
        <v>22805423173.754654</v>
      </c>
      <c r="F7" s="78">
        <v>22498187195.875763</v>
      </c>
      <c r="G7" s="79">
        <v>22142001519.023205</v>
      </c>
      <c r="H7" s="80">
        <v>-2.8888924289465434</v>
      </c>
      <c r="I7" s="81">
        <v>-2.4069022019194586</v>
      </c>
      <c r="J7" s="81">
        <v>-9.658907031208086E-2</v>
      </c>
      <c r="K7" s="82">
        <v>-1.3472057744250532</v>
      </c>
      <c r="L7" s="83">
        <v>-1.5831750076195084</v>
      </c>
    </row>
    <row r="8" spans="1:12" s="15" customFormat="1" ht="19.5" customHeight="1" x14ac:dyDescent="0.3">
      <c r="A8" s="68" t="s">
        <v>11</v>
      </c>
      <c r="B8" s="69">
        <v>16095805176.432308</v>
      </c>
      <c r="C8" s="70">
        <v>16636627147.179846</v>
      </c>
      <c r="D8" s="70">
        <v>16987444626.309015</v>
      </c>
      <c r="E8" s="70">
        <v>16679817819.287987</v>
      </c>
      <c r="F8" s="70">
        <v>17070805922.740814</v>
      </c>
      <c r="G8" s="71">
        <v>16806657621.428703</v>
      </c>
      <c r="H8" s="84">
        <v>3.3600181216123071</v>
      </c>
      <c r="I8" s="85">
        <v>2.1087055448534064</v>
      </c>
      <c r="J8" s="85">
        <v>-1.8109069008801715</v>
      </c>
      <c r="K8" s="86">
        <v>2.3440789802913864</v>
      </c>
      <c r="L8" s="87">
        <v>-1.5473686626606531</v>
      </c>
    </row>
    <row r="9" spans="1:12" s="15" customFormat="1" ht="19.5" customHeight="1" x14ac:dyDescent="0.3">
      <c r="A9" s="76" t="s">
        <v>12</v>
      </c>
      <c r="B9" s="77">
        <v>9162752407.5518341</v>
      </c>
      <c r="C9" s="78">
        <v>9459718301.5323963</v>
      </c>
      <c r="D9" s="78">
        <v>9910841813.7878113</v>
      </c>
      <c r="E9" s="78">
        <v>10281672170.430487</v>
      </c>
      <c r="F9" s="78">
        <v>10487620601.484282</v>
      </c>
      <c r="G9" s="79">
        <v>10129533696.620708</v>
      </c>
      <c r="H9" s="80">
        <v>3.2410118790922038</v>
      </c>
      <c r="I9" s="81">
        <v>4.7688894941230631</v>
      </c>
      <c r="J9" s="81">
        <v>3.7416635600699522</v>
      </c>
      <c r="K9" s="82">
        <v>2.0030635838214295</v>
      </c>
      <c r="L9" s="83">
        <v>-3.4143769923646317</v>
      </c>
    </row>
    <row r="10" spans="1:12" s="15" customFormat="1" ht="19.5" customHeight="1" x14ac:dyDescent="0.3">
      <c r="A10" s="68" t="s">
        <v>13</v>
      </c>
      <c r="B10" s="69">
        <v>66589132350.050003</v>
      </c>
      <c r="C10" s="70">
        <v>68654611202.282043</v>
      </c>
      <c r="D10" s="70">
        <v>71151108725.12056</v>
      </c>
      <c r="E10" s="70">
        <v>72103891914.158752</v>
      </c>
      <c r="F10" s="70">
        <v>73040522143.1521</v>
      </c>
      <c r="G10" s="71">
        <v>72258593096.908096</v>
      </c>
      <c r="H10" s="84">
        <v>3.1018257474419331</v>
      </c>
      <c r="I10" s="85">
        <v>3.6363144137294912</v>
      </c>
      <c r="J10" s="85">
        <v>1.33909816179969</v>
      </c>
      <c r="K10" s="86">
        <v>1.29900093341484</v>
      </c>
      <c r="L10" s="87">
        <v>-1.0705414245417044</v>
      </c>
    </row>
    <row r="11" spans="1:12" s="15" customFormat="1" ht="19.5" customHeight="1" x14ac:dyDescent="0.3">
      <c r="A11" s="76" t="s">
        <v>14</v>
      </c>
      <c r="B11" s="77">
        <v>124060486095.16646</v>
      </c>
      <c r="C11" s="78">
        <v>121649372751.07788</v>
      </c>
      <c r="D11" s="78">
        <v>121252520582.23039</v>
      </c>
      <c r="E11" s="78">
        <v>121369265187.11313</v>
      </c>
      <c r="F11" s="78">
        <v>118507942310.17966</v>
      </c>
      <c r="G11" s="79">
        <v>118867970570.34465</v>
      </c>
      <c r="H11" s="80">
        <v>-1.9434982241154697</v>
      </c>
      <c r="I11" s="81">
        <v>-0.32622623518128169</v>
      </c>
      <c r="J11" s="81">
        <v>9.6282208668441172E-2</v>
      </c>
      <c r="K11" s="82">
        <v>-2.3575349760272646</v>
      </c>
      <c r="L11" s="83">
        <v>0.30380095472644086</v>
      </c>
    </row>
    <row r="12" spans="1:12" s="15" customFormat="1" ht="19.5" customHeight="1" x14ac:dyDescent="0.3">
      <c r="A12" s="68" t="s">
        <v>15</v>
      </c>
      <c r="B12" s="69">
        <v>16465368159.510569</v>
      </c>
      <c r="C12" s="70">
        <v>16364644306.410799</v>
      </c>
      <c r="D12" s="70">
        <v>15715079101.531614</v>
      </c>
      <c r="E12" s="70">
        <v>15142966028.42428</v>
      </c>
      <c r="F12" s="70">
        <v>14998812513.449881</v>
      </c>
      <c r="G12" s="71">
        <v>14857787147.738195</v>
      </c>
      <c r="H12" s="84">
        <v>-0.61173155755761544</v>
      </c>
      <c r="I12" s="85">
        <v>-3.9693206446578255</v>
      </c>
      <c r="J12" s="85">
        <v>-3.6405357517518055</v>
      </c>
      <c r="K12" s="86">
        <v>-0.95195032930678325</v>
      </c>
      <c r="L12" s="87">
        <v>-0.94024353984839548</v>
      </c>
    </row>
    <row r="13" spans="1:12" s="15" customFormat="1" ht="19.5" customHeight="1" x14ac:dyDescent="0.3">
      <c r="A13" s="76" t="s">
        <v>16</v>
      </c>
      <c r="B13" s="77">
        <v>32510368861.170628</v>
      </c>
      <c r="C13" s="78">
        <v>32370574019.282787</v>
      </c>
      <c r="D13" s="78">
        <v>31537880655.658447</v>
      </c>
      <c r="E13" s="78">
        <v>31755250110.747158</v>
      </c>
      <c r="F13" s="78">
        <v>27978133079.840454</v>
      </c>
      <c r="G13" s="79">
        <v>28819287147.019802</v>
      </c>
      <c r="H13" s="80">
        <v>-0.43000078677916109</v>
      </c>
      <c r="I13" s="81">
        <v>-2.5723775028774987</v>
      </c>
      <c r="J13" s="81">
        <v>0.68923291790601304</v>
      </c>
      <c r="K13" s="82">
        <v>-11.894464750659884</v>
      </c>
      <c r="L13" s="83">
        <v>3.0064696053127227</v>
      </c>
    </row>
    <row r="14" spans="1:12" s="15" customFormat="1" ht="19.5" customHeight="1" x14ac:dyDescent="0.3">
      <c r="A14" s="68" t="s">
        <v>17</v>
      </c>
      <c r="B14" s="69">
        <v>115195850.2171271</v>
      </c>
      <c r="C14" s="70">
        <v>114085205.1925078</v>
      </c>
      <c r="D14" s="70">
        <v>116904986.15987235</v>
      </c>
      <c r="E14" s="70">
        <v>119628706.49661484</v>
      </c>
      <c r="F14" s="70">
        <v>119852698.25146629</v>
      </c>
      <c r="G14" s="71">
        <v>120136077.32229541</v>
      </c>
      <c r="H14" s="84">
        <v>-0.96413631439491443</v>
      </c>
      <c r="I14" s="85">
        <v>2.4716447348334336</v>
      </c>
      <c r="J14" s="85">
        <v>2.329858140539609</v>
      </c>
      <c r="K14" s="86">
        <v>0.18723913466187625</v>
      </c>
      <c r="L14" s="87">
        <v>0.2364394585715246</v>
      </c>
    </row>
    <row r="15" spans="1:12" s="15" customFormat="1" ht="19.5" customHeight="1" x14ac:dyDescent="0.3">
      <c r="A15" s="76" t="s">
        <v>18</v>
      </c>
      <c r="B15" s="77">
        <v>19724919811.219742</v>
      </c>
      <c r="C15" s="78">
        <v>19754594495.216972</v>
      </c>
      <c r="D15" s="78">
        <v>19887410627.300327</v>
      </c>
      <c r="E15" s="78">
        <v>19669728958.820206</v>
      </c>
      <c r="F15" s="78">
        <v>19530804804.705845</v>
      </c>
      <c r="G15" s="79">
        <v>19169170748.507679</v>
      </c>
      <c r="H15" s="80">
        <v>0.15044260905106022</v>
      </c>
      <c r="I15" s="81">
        <v>0.67233033872455827</v>
      </c>
      <c r="J15" s="81">
        <v>-1.0945701909593986</v>
      </c>
      <c r="K15" s="82">
        <v>-0.70628402864730822</v>
      </c>
      <c r="L15" s="83">
        <v>-1.8516085732986909</v>
      </c>
    </row>
    <row r="16" spans="1:12" s="15" customFormat="1" ht="19.5" customHeight="1" x14ac:dyDescent="0.3">
      <c r="A16" s="68" t="s">
        <v>19</v>
      </c>
      <c r="B16" s="69">
        <v>126275507638.24826</v>
      </c>
      <c r="C16" s="70">
        <v>122404588946.10783</v>
      </c>
      <c r="D16" s="70">
        <v>126216125341.90935</v>
      </c>
      <c r="E16" s="70">
        <v>124025730698.20248</v>
      </c>
      <c r="F16" s="70">
        <v>123688884917.73363</v>
      </c>
      <c r="G16" s="71">
        <v>122603356949.83783</v>
      </c>
      <c r="H16" s="84">
        <v>-3.0654548649527213</v>
      </c>
      <c r="I16" s="85">
        <v>3.1138835795442743</v>
      </c>
      <c r="J16" s="85">
        <v>-1.7354316952554627</v>
      </c>
      <c r="K16" s="86">
        <v>-0.27159346578535803</v>
      </c>
      <c r="L16" s="87">
        <v>-0.8776277420705858</v>
      </c>
    </row>
    <row r="17" spans="1:22" s="15" customFormat="1" ht="19.5" customHeight="1" x14ac:dyDescent="0.3">
      <c r="A17" s="76" t="s">
        <v>20</v>
      </c>
      <c r="B17" s="77">
        <v>285427215765.69623</v>
      </c>
      <c r="C17" s="78">
        <v>288461176864.87329</v>
      </c>
      <c r="D17" s="78">
        <v>289093686174.80414</v>
      </c>
      <c r="E17" s="78">
        <v>289553629432.87115</v>
      </c>
      <c r="F17" s="78">
        <v>289544293452.1604</v>
      </c>
      <c r="G17" s="79">
        <v>291283238424.02362</v>
      </c>
      <c r="H17" s="80">
        <v>1.0629543826218724</v>
      </c>
      <c r="I17" s="81">
        <v>0.21927016897220764</v>
      </c>
      <c r="J17" s="81">
        <v>0.15909834080185536</v>
      </c>
      <c r="K17" s="82">
        <v>-3.2242665129245118E-3</v>
      </c>
      <c r="L17" s="83">
        <v>0.60057994966167261</v>
      </c>
    </row>
    <row r="18" spans="1:22" s="15" customFormat="1" ht="19.5" customHeight="1" x14ac:dyDescent="0.3">
      <c r="A18" s="68" t="s">
        <v>21</v>
      </c>
      <c r="B18" s="69">
        <v>23330285053.928989</v>
      </c>
      <c r="C18" s="70">
        <v>23575551417.238125</v>
      </c>
      <c r="D18" s="70">
        <v>22961522764.951057</v>
      </c>
      <c r="E18" s="70">
        <v>21734221020.740555</v>
      </c>
      <c r="F18" s="70">
        <v>20184674999.532055</v>
      </c>
      <c r="G18" s="71">
        <v>19445070823.894852</v>
      </c>
      <c r="H18" s="84">
        <v>1.0512788966881015</v>
      </c>
      <c r="I18" s="85">
        <v>-2.6045144879966564</v>
      </c>
      <c r="J18" s="85">
        <v>-5.3450363757402091</v>
      </c>
      <c r="K18" s="86">
        <v>-7.1295217791785497</v>
      </c>
      <c r="L18" s="87">
        <v>-3.6641866943824986</v>
      </c>
    </row>
    <row r="19" spans="1:22" s="15" customFormat="1" ht="19.5" customHeight="1" x14ac:dyDescent="0.3">
      <c r="A19" s="76" t="s">
        <v>22</v>
      </c>
      <c r="B19" s="77">
        <v>12569784210.26944</v>
      </c>
      <c r="C19" s="78">
        <v>12869182434.673456</v>
      </c>
      <c r="D19" s="78">
        <v>13076236894.756506</v>
      </c>
      <c r="E19" s="78">
        <v>12543226121.171444</v>
      </c>
      <c r="F19" s="78">
        <v>11820986622.632816</v>
      </c>
      <c r="G19" s="79">
        <v>11390841330.304375</v>
      </c>
      <c r="H19" s="80">
        <v>2.3818883394943979</v>
      </c>
      <c r="I19" s="81">
        <v>1.6089169699326167</v>
      </c>
      <c r="J19" s="81">
        <v>-4.0761786274979173</v>
      </c>
      <c r="K19" s="82">
        <v>-5.7580042930070015</v>
      </c>
      <c r="L19" s="83">
        <v>-3.6388273336243615</v>
      </c>
    </row>
    <row r="20" spans="1:22" s="15" customFormat="1" ht="19.5" customHeight="1" x14ac:dyDescent="0.3">
      <c r="A20" s="68" t="s">
        <v>23</v>
      </c>
      <c r="B20" s="69">
        <v>8102348883.2535553</v>
      </c>
      <c r="C20" s="70">
        <v>8148929073.5465765</v>
      </c>
      <c r="D20" s="70">
        <v>8670956710.9522572</v>
      </c>
      <c r="E20" s="70">
        <v>8799636944.6813526</v>
      </c>
      <c r="F20" s="70">
        <v>8871135124.2763844</v>
      </c>
      <c r="G20" s="71">
        <v>8973002426.8733902</v>
      </c>
      <c r="H20" s="84">
        <v>0.57489736574163341</v>
      </c>
      <c r="I20" s="85">
        <v>6.4060888577409658</v>
      </c>
      <c r="J20" s="85">
        <v>1.4840373215859737</v>
      </c>
      <c r="K20" s="86">
        <v>0.8125128348419608</v>
      </c>
      <c r="L20" s="87">
        <v>1.1483006534106277</v>
      </c>
    </row>
    <row r="21" spans="1:22" s="10" customFormat="1" ht="19.5" customHeight="1" thickBot="1" x14ac:dyDescent="0.35">
      <c r="A21" s="88" t="s">
        <v>24</v>
      </c>
      <c r="B21" s="89">
        <v>828277854254.89404</v>
      </c>
      <c r="C21" s="90">
        <v>827181831438.1123</v>
      </c>
      <c r="D21" s="90">
        <v>832484121501.34656</v>
      </c>
      <c r="E21" s="90">
        <v>829993488087.13684</v>
      </c>
      <c r="F21" s="90">
        <v>821290098580.0387</v>
      </c>
      <c r="G21" s="91">
        <v>820195497463.27771</v>
      </c>
      <c r="H21" s="92">
        <v>-0.13232550057343806</v>
      </c>
      <c r="I21" s="93">
        <v>0.64100659150307937</v>
      </c>
      <c r="J21" s="93">
        <v>-0.29918089124847391</v>
      </c>
      <c r="K21" s="94">
        <v>-1.0486093724851542</v>
      </c>
      <c r="L21" s="95">
        <v>-0.13327825559488193</v>
      </c>
    </row>
    <row r="22" spans="1:22" ht="19.5" customHeight="1" thickTop="1" x14ac:dyDescent="0.3">
      <c r="A22" s="68" t="s">
        <v>25</v>
      </c>
      <c r="B22" s="96">
        <v>144833980592.01782</v>
      </c>
      <c r="C22" s="97">
        <v>142597351920.82144</v>
      </c>
      <c r="D22" s="97">
        <v>141959736004.30453</v>
      </c>
      <c r="E22" s="97">
        <v>147706068815.02835</v>
      </c>
      <c r="F22" s="97">
        <v>148639643763.78186</v>
      </c>
      <c r="G22" s="98">
        <v>151936275092.56961</v>
      </c>
      <c r="H22" s="84">
        <v>-1.5442706622120217</v>
      </c>
      <c r="I22" s="85">
        <v>-0.4471442897978517</v>
      </c>
      <c r="J22" s="85">
        <v>4.0478610150060934</v>
      </c>
      <c r="K22" s="86">
        <v>0.63204914750158991</v>
      </c>
      <c r="L22" s="87">
        <v>2.2178681577216031</v>
      </c>
    </row>
    <row r="23" spans="1:22" ht="19.5" customHeight="1" x14ac:dyDescent="0.3">
      <c r="A23" s="76" t="s">
        <v>26</v>
      </c>
      <c r="B23" s="99">
        <v>47994094554.406357</v>
      </c>
      <c r="C23" s="100">
        <v>48004464023.854294</v>
      </c>
      <c r="D23" s="100">
        <v>48820171623.86657</v>
      </c>
      <c r="E23" s="100">
        <v>50081290804.001511</v>
      </c>
      <c r="F23" s="100">
        <v>51341111950.586166</v>
      </c>
      <c r="G23" s="101">
        <v>52520937949.841255</v>
      </c>
      <c r="H23" s="80">
        <v>2.1605719504047549E-2</v>
      </c>
      <c r="I23" s="81">
        <v>1.6992328038636817</v>
      </c>
      <c r="J23" s="81">
        <v>2.5831928446528041</v>
      </c>
      <c r="K23" s="82">
        <v>2.5155524675174679</v>
      </c>
      <c r="L23" s="83">
        <v>2.298014114674074</v>
      </c>
    </row>
    <row r="24" spans="1:22" ht="19.5" customHeight="1" x14ac:dyDescent="0.3">
      <c r="A24" s="68" t="s">
        <v>27</v>
      </c>
      <c r="B24" s="96">
        <v>102430769542.91756</v>
      </c>
      <c r="C24" s="97">
        <v>101823440209.63261</v>
      </c>
      <c r="D24" s="97">
        <v>101675311841.56506</v>
      </c>
      <c r="E24" s="97">
        <v>101962628284.65393</v>
      </c>
      <c r="F24" s="97">
        <v>101860124515.71492</v>
      </c>
      <c r="G24" s="98">
        <v>101742915390.71565</v>
      </c>
      <c r="H24" s="84">
        <v>-0.59291689010544379</v>
      </c>
      <c r="I24" s="85">
        <v>-0.14547570555717426</v>
      </c>
      <c r="J24" s="85">
        <v>0.28258230821713859</v>
      </c>
      <c r="K24" s="86">
        <v>-0.10053072450511014</v>
      </c>
      <c r="L24" s="87">
        <v>-0.11506870382942402</v>
      </c>
    </row>
    <row r="25" spans="1:22" ht="19.5" customHeight="1" x14ac:dyDescent="0.3">
      <c r="A25" s="76" t="s">
        <v>28</v>
      </c>
      <c r="B25" s="99">
        <v>64067052138.557434</v>
      </c>
      <c r="C25" s="100">
        <v>64107399458.181999</v>
      </c>
      <c r="D25" s="100">
        <v>64572233980.38002</v>
      </c>
      <c r="E25" s="100">
        <v>65078642562.46344</v>
      </c>
      <c r="F25" s="100">
        <v>65473843007.479164</v>
      </c>
      <c r="G25" s="101">
        <v>65844332947.789116</v>
      </c>
      <c r="H25" s="80">
        <v>6.2976706868456134E-2</v>
      </c>
      <c r="I25" s="81">
        <v>0.72508716018224728</v>
      </c>
      <c r="J25" s="81">
        <v>0.78425129636570112</v>
      </c>
      <c r="K25" s="82">
        <v>0.60726596231075458</v>
      </c>
      <c r="L25" s="83">
        <v>0.56585946889911032</v>
      </c>
    </row>
    <row r="26" spans="1:22" ht="19.5" customHeight="1" x14ac:dyDescent="0.3">
      <c r="A26" s="68" t="s">
        <v>29</v>
      </c>
      <c r="B26" s="96">
        <v>26361419855.54533</v>
      </c>
      <c r="C26" s="97">
        <v>26135753338.586842</v>
      </c>
      <c r="D26" s="97">
        <v>25919806495.071663</v>
      </c>
      <c r="E26" s="97">
        <v>26238322938.724579</v>
      </c>
      <c r="F26" s="97">
        <v>25819884853.32122</v>
      </c>
      <c r="G26" s="98">
        <v>25429119915.15189</v>
      </c>
      <c r="H26" s="84">
        <v>-0.85604841543092114</v>
      </c>
      <c r="I26" s="85">
        <v>-0.82625069466183421</v>
      </c>
      <c r="J26" s="85">
        <v>1.2288534781827121</v>
      </c>
      <c r="K26" s="86">
        <v>-1.5947592625510154</v>
      </c>
      <c r="L26" s="87">
        <v>-1.5134263393861147</v>
      </c>
    </row>
    <row r="27" spans="1:22" ht="19.5" customHeight="1" thickBot="1" x14ac:dyDescent="0.35">
      <c r="A27" s="88" t="s">
        <v>30</v>
      </c>
      <c r="B27" s="89">
        <v>385687316683.44452</v>
      </c>
      <c r="C27" s="90">
        <v>382668408951.07721</v>
      </c>
      <c r="D27" s="90">
        <v>382947259945.18787</v>
      </c>
      <c r="E27" s="90">
        <v>391066953404.87183</v>
      </c>
      <c r="F27" s="90">
        <v>393134608090.88336</v>
      </c>
      <c r="G27" s="91">
        <v>397473581296.06757</v>
      </c>
      <c r="H27" s="92">
        <v>-0.78273451103529901</v>
      </c>
      <c r="I27" s="93">
        <v>7.2870137065939034E-2</v>
      </c>
      <c r="J27" s="93">
        <v>2.1203163748569898</v>
      </c>
      <c r="K27" s="94">
        <v>0.52872140384383481</v>
      </c>
      <c r="L27" s="95">
        <v>1.1036864005066427</v>
      </c>
    </row>
    <row r="28" spans="1:22" ht="19.5" customHeight="1" thickTop="1" thickBot="1" x14ac:dyDescent="0.35">
      <c r="A28" s="102" t="s">
        <v>31</v>
      </c>
      <c r="B28" s="103">
        <v>1213965170938.3386</v>
      </c>
      <c r="C28" s="104">
        <v>1209850240389.1895</v>
      </c>
      <c r="D28" s="104">
        <v>1215431381446.5344</v>
      </c>
      <c r="E28" s="104">
        <v>1221060441492.0088</v>
      </c>
      <c r="F28" s="104">
        <v>1214424706670.9221</v>
      </c>
      <c r="G28" s="105">
        <v>1217669078759.3452</v>
      </c>
      <c r="H28" s="106">
        <v>-0.33896611267426602</v>
      </c>
      <c r="I28" s="107">
        <v>0.46130842240024172</v>
      </c>
      <c r="J28" s="107">
        <v>0.463132689463297</v>
      </c>
      <c r="K28" s="108">
        <v>-0.54344032413158327</v>
      </c>
      <c r="L28" s="109">
        <v>0.26715300426625177</v>
      </c>
    </row>
    <row r="29" spans="1:22" s="2" customFormat="1" ht="27" customHeight="1" thickTop="1" x14ac:dyDescent="0.25">
      <c r="A29" s="142" t="s">
        <v>135</v>
      </c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</row>
    <row r="30" spans="1:22" s="2" customFormat="1" ht="14.25" x14ac:dyDescent="0.25">
      <c r="A30" s="142" t="s">
        <v>133</v>
      </c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</row>
    <row r="31" spans="1:22" s="2" customFormat="1" ht="27" customHeight="1" x14ac:dyDescent="0.25">
      <c r="A31" s="142" t="s">
        <v>124</v>
      </c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32"/>
      <c r="N31" s="32"/>
      <c r="O31" s="32"/>
      <c r="P31" s="32"/>
      <c r="Q31" s="32"/>
      <c r="R31" s="32"/>
      <c r="S31" s="32"/>
      <c r="T31" s="32"/>
      <c r="U31" s="32"/>
      <c r="V31" s="32"/>
    </row>
    <row r="32" spans="1:22" s="2" customFormat="1" ht="14.25" x14ac:dyDescent="0.25">
      <c r="A32" s="143" t="s">
        <v>34</v>
      </c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</row>
    <row r="33" spans="1:3" s="2" customFormat="1" ht="14.25" x14ac:dyDescent="0.25">
      <c r="A33" s="30" t="s">
        <v>95</v>
      </c>
    </row>
    <row r="34" spans="1:3" s="2" customFormat="1" ht="14.25" x14ac:dyDescent="0.25">
      <c r="A34" s="152" t="s">
        <v>37</v>
      </c>
      <c r="B34" s="152"/>
      <c r="C34" s="152"/>
    </row>
  </sheetData>
  <mergeCells count="8">
    <mergeCell ref="A1:L1"/>
    <mergeCell ref="H2:L2"/>
    <mergeCell ref="B2:G2"/>
    <mergeCell ref="A31:L31"/>
    <mergeCell ref="A34:C34"/>
    <mergeCell ref="A30:L30"/>
    <mergeCell ref="A29:L29"/>
    <mergeCell ref="A32:L32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74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H45"/>
  <sheetViews>
    <sheetView showGridLines="0" zoomScale="70" zoomScaleNormal="70" workbookViewId="0">
      <pane xSplit="1" ySplit="3" topLeftCell="B4" activePane="bottomRight" state="frozen"/>
      <selection activeCell="C8" sqref="C8"/>
      <selection pane="topRight" activeCell="C8" sqref="C8"/>
      <selection pane="bottomLeft" activeCell="C8" sqref="C8"/>
      <selection pane="bottomRight" activeCell="B4" sqref="B4"/>
    </sheetView>
  </sheetViews>
  <sheetFormatPr defaultColWidth="9.140625" defaultRowHeight="17.25" x14ac:dyDescent="0.3"/>
  <cols>
    <col min="1" max="1" width="21.140625" style="3" customWidth="1"/>
    <col min="2" max="2" width="8.28515625" style="3" bestFit="1" customWidth="1"/>
    <col min="3" max="3" width="9.5703125" style="3" bestFit="1" customWidth="1"/>
    <col min="4" max="4" width="11.42578125" style="3" bestFit="1" customWidth="1"/>
    <col min="5" max="5" width="12.7109375" style="3" bestFit="1" customWidth="1"/>
    <col min="6" max="6" width="14.140625" style="3" bestFit="1" customWidth="1"/>
    <col min="7" max="14" width="17.28515625" style="3" bestFit="1" customWidth="1"/>
    <col min="15" max="33" width="18.7109375" style="3" bestFit="1" customWidth="1"/>
    <col min="34" max="38" width="20.5703125" style="3" bestFit="1" customWidth="1"/>
    <col min="39" max="16384" width="9.140625" style="3"/>
  </cols>
  <sheetData>
    <row r="1" spans="1:38" ht="22.5" customHeight="1" x14ac:dyDescent="0.3">
      <c r="B1" s="10"/>
      <c r="C1" s="10" t="s">
        <v>96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</row>
    <row r="2" spans="1:38" x14ac:dyDescent="0.3">
      <c r="C2" s="3" t="s">
        <v>2</v>
      </c>
    </row>
    <row r="3" spans="1:38" s="10" customFormat="1" ht="33" customHeight="1" thickBot="1" x14ac:dyDescent="0.35">
      <c r="A3" s="6" t="s">
        <v>3</v>
      </c>
      <c r="B3" s="7" t="s">
        <v>39</v>
      </c>
      <c r="C3" s="7" t="s">
        <v>40</v>
      </c>
      <c r="D3" s="7" t="s">
        <v>41</v>
      </c>
      <c r="E3" s="7" t="s">
        <v>42</v>
      </c>
      <c r="F3" s="7" t="s">
        <v>43</v>
      </c>
      <c r="G3" s="7" t="s">
        <v>44</v>
      </c>
      <c r="H3" s="7" t="s">
        <v>45</v>
      </c>
      <c r="I3" s="7" t="s">
        <v>46</v>
      </c>
      <c r="J3" s="7" t="s">
        <v>47</v>
      </c>
      <c r="K3" s="7" t="s">
        <v>48</v>
      </c>
      <c r="L3" s="7" t="s">
        <v>49</v>
      </c>
      <c r="M3" s="7" t="s">
        <v>50</v>
      </c>
      <c r="N3" s="7" t="s">
        <v>51</v>
      </c>
      <c r="O3" s="7" t="s">
        <v>52</v>
      </c>
      <c r="P3" s="7" t="s">
        <v>53</v>
      </c>
      <c r="Q3" s="7" t="s">
        <v>54</v>
      </c>
      <c r="R3" s="7" t="s">
        <v>55</v>
      </c>
      <c r="S3" s="7" t="s">
        <v>56</v>
      </c>
      <c r="T3" s="7" t="s">
        <v>57</v>
      </c>
      <c r="U3" s="7" t="s">
        <v>58</v>
      </c>
      <c r="V3" s="7" t="s">
        <v>59</v>
      </c>
      <c r="W3" s="7" t="s">
        <v>60</v>
      </c>
      <c r="X3" s="7" t="s">
        <v>61</v>
      </c>
      <c r="Y3" s="7" t="s">
        <v>62</v>
      </c>
      <c r="Z3" s="7" t="s">
        <v>63</v>
      </c>
      <c r="AA3" s="7" t="s">
        <v>64</v>
      </c>
      <c r="AB3" s="7" t="s">
        <v>65</v>
      </c>
      <c r="AC3" s="56">
        <v>2016</v>
      </c>
      <c r="AD3" s="56">
        <v>2017</v>
      </c>
      <c r="AE3" s="56">
        <v>2018</v>
      </c>
      <c r="AF3" s="56">
        <v>2019</v>
      </c>
      <c r="AG3" s="56">
        <v>2020</v>
      </c>
      <c r="AH3" s="56">
        <v>2021</v>
      </c>
      <c r="AI3" s="56">
        <v>2022</v>
      </c>
      <c r="AJ3" s="56">
        <v>2023</v>
      </c>
      <c r="AK3" s="56" t="s">
        <v>4</v>
      </c>
      <c r="AL3" s="56" t="s">
        <v>121</v>
      </c>
    </row>
    <row r="4" spans="1:38" s="15" customFormat="1" ht="18" customHeight="1" thickTop="1" x14ac:dyDescent="0.3">
      <c r="A4" s="11" t="s">
        <v>7</v>
      </c>
      <c r="B4" s="12">
        <v>688.3385331245006</v>
      </c>
      <c r="C4" s="12">
        <v>16232.296060605373</v>
      </c>
      <c r="D4" s="12">
        <v>94045.051486059383</v>
      </c>
      <c r="E4" s="12">
        <v>895547.2397727255</v>
      </c>
      <c r="F4" s="12">
        <v>11953713.792363614</v>
      </c>
      <c r="G4" s="12">
        <v>386418764.89090884</v>
      </c>
      <c r="H4" s="12">
        <v>607843463.33333337</v>
      </c>
      <c r="I4" s="12">
        <v>464899681.66666663</v>
      </c>
      <c r="J4" s="12">
        <v>468124469.99999994</v>
      </c>
      <c r="K4" s="12">
        <v>589915223.33333337</v>
      </c>
      <c r="L4" s="12">
        <v>849292249.99999988</v>
      </c>
      <c r="M4" s="12">
        <v>1277854939.9999998</v>
      </c>
      <c r="N4" s="12">
        <v>1608143766.6666663</v>
      </c>
      <c r="O4" s="12">
        <v>1518014811.6666665</v>
      </c>
      <c r="P4" s="12">
        <v>2435689310.0000005</v>
      </c>
      <c r="Q4" s="12">
        <v>4748100000</v>
      </c>
      <c r="R4" s="12">
        <v>3632553533.333333</v>
      </c>
      <c r="S4" s="12">
        <v>2722382139.166666</v>
      </c>
      <c r="T4" s="12">
        <v>3960091860.0000005</v>
      </c>
      <c r="U4" s="12">
        <v>4132550287.4999995</v>
      </c>
      <c r="V4" s="12">
        <v>2899956618.3333335</v>
      </c>
      <c r="W4" s="12">
        <v>2962136020.8333335</v>
      </c>
      <c r="X4" s="12">
        <v>8400487830.0000019</v>
      </c>
      <c r="Y4" s="12">
        <v>11089294493.333334</v>
      </c>
      <c r="Z4" s="12">
        <v>8366434873.333333</v>
      </c>
      <c r="AA4" s="12">
        <v>11333341024.999998</v>
      </c>
      <c r="AB4" s="12">
        <v>12396934565.000002</v>
      </c>
      <c r="AC4" s="57">
        <v>12402047338.33333</v>
      </c>
      <c r="AD4" s="57">
        <v>8593813215.6635818</v>
      </c>
      <c r="AE4" s="57">
        <v>13542991354.629631</v>
      </c>
      <c r="AF4" s="57">
        <v>16517815431.790127</v>
      </c>
      <c r="AG4" s="57">
        <v>20164730271.604939</v>
      </c>
      <c r="AH4" s="57">
        <v>26441155996.141972</v>
      </c>
      <c r="AI4" s="57">
        <v>34794331999.60318</v>
      </c>
      <c r="AJ4" s="57">
        <v>30455754095.601856</v>
      </c>
      <c r="AK4" s="57">
        <v>32817385483.412701</v>
      </c>
      <c r="AL4" s="57">
        <v>32597726266.666668</v>
      </c>
    </row>
    <row r="5" spans="1:38" s="15" customFormat="1" ht="18" customHeight="1" x14ac:dyDescent="0.3">
      <c r="A5" s="16" t="s">
        <v>8</v>
      </c>
      <c r="B5" s="17">
        <v>52.609567964250004</v>
      </c>
      <c r="C5" s="17">
        <v>1202.3795833332651</v>
      </c>
      <c r="D5" s="17">
        <v>6919.9020751514427</v>
      </c>
      <c r="E5" s="17">
        <v>61094.608119999903</v>
      </c>
      <c r="F5" s="17">
        <v>1652977.6606060578</v>
      </c>
      <c r="G5" s="17">
        <v>38726765.57272727</v>
      </c>
      <c r="H5" s="17">
        <v>57985634.166666664</v>
      </c>
      <c r="I5" s="17">
        <v>61582635</v>
      </c>
      <c r="J5" s="17">
        <v>69803512.5</v>
      </c>
      <c r="K5" s="17">
        <v>77905446.666666672</v>
      </c>
      <c r="L5" s="17">
        <v>106306942.5</v>
      </c>
      <c r="M5" s="17">
        <v>134497925</v>
      </c>
      <c r="N5" s="17">
        <v>106429982.5</v>
      </c>
      <c r="O5" s="17">
        <v>153135203.33333334</v>
      </c>
      <c r="P5" s="17">
        <v>219161932.50000003</v>
      </c>
      <c r="Q5" s="17">
        <v>276493886.66666663</v>
      </c>
      <c r="R5" s="17">
        <v>307620724.16666669</v>
      </c>
      <c r="S5" s="17">
        <v>237211936.66666669</v>
      </c>
      <c r="T5" s="17">
        <v>314371733.33333331</v>
      </c>
      <c r="U5" s="17">
        <v>498919190</v>
      </c>
      <c r="V5" s="17">
        <v>311694588.33333331</v>
      </c>
      <c r="W5" s="17">
        <v>317014187.50000006</v>
      </c>
      <c r="X5" s="17">
        <v>471752629.07500005</v>
      </c>
      <c r="Y5" s="17">
        <v>560370038.17142868</v>
      </c>
      <c r="Z5" s="17">
        <v>732086847.27744722</v>
      </c>
      <c r="AA5" s="17">
        <v>870978064.57142866</v>
      </c>
      <c r="AB5" s="17">
        <v>996274201.25793648</v>
      </c>
      <c r="AC5" s="58">
        <v>1233157872.5277777</v>
      </c>
      <c r="AD5" s="58">
        <v>1284280034.7055554</v>
      </c>
      <c r="AE5" s="58">
        <v>1228221105.4777777</v>
      </c>
      <c r="AF5" s="58">
        <v>1515215752.5</v>
      </c>
      <c r="AG5" s="58">
        <v>2364061397.1916666</v>
      </c>
      <c r="AH5" s="58">
        <v>2755401562.7166662</v>
      </c>
      <c r="AI5" s="58">
        <v>3573467935.6500001</v>
      </c>
      <c r="AJ5" s="58">
        <v>4385539388.625</v>
      </c>
      <c r="AK5" s="58">
        <v>4217172771.793334</v>
      </c>
      <c r="AL5" s="58">
        <v>5686005540.5999994</v>
      </c>
    </row>
    <row r="6" spans="1:38" s="15" customFormat="1" ht="18" customHeight="1" x14ac:dyDescent="0.3">
      <c r="A6" s="11" t="s">
        <v>9</v>
      </c>
      <c r="B6" s="12">
        <v>1587.6227264723668</v>
      </c>
      <c r="C6" s="12">
        <v>36715.618314238658</v>
      </c>
      <c r="D6" s="12">
        <v>276690.41019545094</v>
      </c>
      <c r="E6" s="12">
        <v>2549354.560404845</v>
      </c>
      <c r="F6" s="12">
        <v>56622375.748484671</v>
      </c>
      <c r="G6" s="12">
        <v>1351753975.5384841</v>
      </c>
      <c r="H6" s="12">
        <v>1983271306.6666663</v>
      </c>
      <c r="I6" s="12">
        <v>1788147786.6666667</v>
      </c>
      <c r="J6" s="12">
        <v>1920882950</v>
      </c>
      <c r="K6" s="12">
        <v>2218375875</v>
      </c>
      <c r="L6" s="12">
        <v>3337262789.9999995</v>
      </c>
      <c r="M6" s="12">
        <v>2774368176.6666675</v>
      </c>
      <c r="N6" s="12">
        <v>2995847754.1666665</v>
      </c>
      <c r="O6" s="12">
        <v>4073934539.9999995</v>
      </c>
      <c r="P6" s="12">
        <v>6045742755.000001</v>
      </c>
      <c r="Q6" s="12">
        <v>8419835906.666667</v>
      </c>
      <c r="R6" s="12">
        <v>6508479080.000001</v>
      </c>
      <c r="S6" s="12">
        <v>5235036104.1666679</v>
      </c>
      <c r="T6" s="12">
        <v>5521153215.833334</v>
      </c>
      <c r="U6" s="12">
        <v>7890208354.166667</v>
      </c>
      <c r="V6" s="12">
        <v>8581692680</v>
      </c>
      <c r="W6" s="12">
        <v>7022491250.000001</v>
      </c>
      <c r="X6" s="12">
        <v>7479731670.000001</v>
      </c>
      <c r="Y6" s="12">
        <v>7132051517.500001</v>
      </c>
      <c r="Z6" s="12">
        <v>9180569429.1666679</v>
      </c>
      <c r="AA6" s="12">
        <v>9923115630</v>
      </c>
      <c r="AB6" s="12">
        <v>9871713802.5000019</v>
      </c>
      <c r="AC6" s="57">
        <v>9958302187.4999981</v>
      </c>
      <c r="AD6" s="57">
        <v>10974725852.249506</v>
      </c>
      <c r="AE6" s="57">
        <v>9676195906.4042721</v>
      </c>
      <c r="AF6" s="57">
        <v>9692832728.5643311</v>
      </c>
      <c r="AG6" s="57">
        <v>15110521178.252802</v>
      </c>
      <c r="AH6" s="57">
        <v>19255752409.311829</v>
      </c>
      <c r="AI6" s="57">
        <v>17036229351.869711</v>
      </c>
      <c r="AJ6" s="57">
        <v>20344812451.234085</v>
      </c>
      <c r="AK6" s="57">
        <v>24138580020.490952</v>
      </c>
      <c r="AL6" s="57">
        <v>27010296675.794117</v>
      </c>
    </row>
    <row r="7" spans="1:38" s="15" customFormat="1" ht="18" customHeight="1" x14ac:dyDescent="0.3">
      <c r="A7" s="16" t="s">
        <v>10</v>
      </c>
      <c r="B7" s="17">
        <v>1047.9353840017093</v>
      </c>
      <c r="C7" s="17">
        <v>32746.722622097863</v>
      </c>
      <c r="D7" s="17">
        <v>145283.63128723495</v>
      </c>
      <c r="E7" s="17">
        <v>1277028.6398111971</v>
      </c>
      <c r="F7" s="17">
        <v>28051838.838072661</v>
      </c>
      <c r="G7" s="17">
        <v>1028973417.4174905</v>
      </c>
      <c r="H7" s="17">
        <v>2289095536.1999998</v>
      </c>
      <c r="I7" s="17">
        <v>1742230040.8500001</v>
      </c>
      <c r="J7" s="17">
        <v>1634559781.7999997</v>
      </c>
      <c r="K7" s="17">
        <v>1711153827.4999998</v>
      </c>
      <c r="L7" s="17">
        <v>2022593124.1249995</v>
      </c>
      <c r="M7" s="17">
        <v>2000879246.3999994</v>
      </c>
      <c r="N7" s="17">
        <v>2157162193.0416665</v>
      </c>
      <c r="O7" s="17">
        <v>2392775071.458333</v>
      </c>
      <c r="P7" s="17">
        <v>3059024578.9583335</v>
      </c>
      <c r="Q7" s="17">
        <v>3310984061.666666</v>
      </c>
      <c r="R7" s="17">
        <v>3570677733.333333</v>
      </c>
      <c r="S7" s="17">
        <v>3764452202.1666665</v>
      </c>
      <c r="T7" s="17">
        <v>4183296034.666667</v>
      </c>
      <c r="U7" s="17">
        <v>4689343679.166667</v>
      </c>
      <c r="V7" s="17">
        <v>4593553311.666666</v>
      </c>
      <c r="W7" s="17">
        <v>5425314333.25</v>
      </c>
      <c r="X7" s="17">
        <v>6416951860.5000019</v>
      </c>
      <c r="Y7" s="17">
        <v>6409540617</v>
      </c>
      <c r="Z7" s="17">
        <v>7738404157.916666</v>
      </c>
      <c r="AA7" s="17">
        <v>8615769162.041666</v>
      </c>
      <c r="AB7" s="17">
        <v>9022465073.6250019</v>
      </c>
      <c r="AC7" s="58">
        <v>14639689370.833332</v>
      </c>
      <c r="AD7" s="58">
        <v>10837891127.271633</v>
      </c>
      <c r="AE7" s="58">
        <v>9933889145.6921024</v>
      </c>
      <c r="AF7" s="58">
        <v>12133653064.442739</v>
      </c>
      <c r="AG7" s="58">
        <v>10612069116.133684</v>
      </c>
      <c r="AH7" s="58">
        <v>12036577054.281368</v>
      </c>
      <c r="AI7" s="58">
        <v>15866910333.283648</v>
      </c>
      <c r="AJ7" s="58">
        <v>17570532732.557796</v>
      </c>
      <c r="AK7" s="58">
        <v>21388288641.229507</v>
      </c>
      <c r="AL7" s="58">
        <v>18955450080.189541</v>
      </c>
    </row>
    <row r="8" spans="1:38" s="15" customFormat="1" ht="18" customHeight="1" x14ac:dyDescent="0.3">
      <c r="A8" s="11" t="s">
        <v>11</v>
      </c>
      <c r="B8" s="12">
        <v>521.36437785459998</v>
      </c>
      <c r="C8" s="12">
        <v>18491.148569090383</v>
      </c>
      <c r="D8" s="12">
        <v>69955.204257574806</v>
      </c>
      <c r="E8" s="12">
        <v>814729.71516363486</v>
      </c>
      <c r="F8" s="12">
        <v>13637711.172030278</v>
      </c>
      <c r="G8" s="12">
        <v>671767587.74090874</v>
      </c>
      <c r="H8" s="12">
        <v>852540766.66666675</v>
      </c>
      <c r="I8" s="12">
        <v>651387420</v>
      </c>
      <c r="J8" s="12">
        <v>850106938.33333337</v>
      </c>
      <c r="K8" s="12">
        <v>1132233606.6666667</v>
      </c>
      <c r="L8" s="12">
        <v>876326583.33333337</v>
      </c>
      <c r="M8" s="12">
        <v>990634160</v>
      </c>
      <c r="N8" s="12">
        <v>1607121273.3333335</v>
      </c>
      <c r="O8" s="12">
        <v>1591864267.5</v>
      </c>
      <c r="P8" s="12">
        <v>1850835420.0000002</v>
      </c>
      <c r="Q8" s="12">
        <v>1653042527.5</v>
      </c>
      <c r="R8" s="12">
        <v>2045047013.3333337</v>
      </c>
      <c r="S8" s="12">
        <v>1956693454.1666667</v>
      </c>
      <c r="T8" s="12">
        <v>2219069375.0000005</v>
      </c>
      <c r="U8" s="12">
        <v>2506446070</v>
      </c>
      <c r="V8" s="12">
        <v>3162475519.999999</v>
      </c>
      <c r="W8" s="12">
        <v>3553422516.666667</v>
      </c>
      <c r="X8" s="12">
        <v>3182752625</v>
      </c>
      <c r="Y8" s="12">
        <v>2658906075</v>
      </c>
      <c r="Z8" s="12">
        <v>4217142773.3333335</v>
      </c>
      <c r="AA8" s="12">
        <v>5171920126.666666</v>
      </c>
      <c r="AB8" s="12">
        <v>5463099412.499999</v>
      </c>
      <c r="AC8" s="57">
        <v>7253466233.333334</v>
      </c>
      <c r="AD8" s="57">
        <v>3930224624.6223211</v>
      </c>
      <c r="AE8" s="57">
        <v>3972479029.9872022</v>
      </c>
      <c r="AF8" s="57">
        <v>7883012846.8605156</v>
      </c>
      <c r="AG8" s="57">
        <v>7154121587.3150787</v>
      </c>
      <c r="AH8" s="57">
        <v>8401117336.5087318</v>
      </c>
      <c r="AI8" s="57">
        <v>11327646735.907143</v>
      </c>
      <c r="AJ8" s="57">
        <v>10774054198.392855</v>
      </c>
      <c r="AK8" s="57">
        <v>16234559644.149763</v>
      </c>
      <c r="AL8" s="57">
        <v>12940075858.799999</v>
      </c>
    </row>
    <row r="9" spans="1:38" s="15" customFormat="1" ht="18" customHeight="1" x14ac:dyDescent="0.3">
      <c r="A9" s="16" t="s">
        <v>12</v>
      </c>
      <c r="B9" s="17">
        <v>319.71323373599995</v>
      </c>
      <c r="C9" s="17">
        <v>7173.5637719999859</v>
      </c>
      <c r="D9" s="17">
        <v>39777.881234363544</v>
      </c>
      <c r="E9" s="17">
        <v>400192.33169090824</v>
      </c>
      <c r="F9" s="17">
        <v>9360554.0388383567</v>
      </c>
      <c r="G9" s="17">
        <v>209695162.18628272</v>
      </c>
      <c r="H9" s="17">
        <v>297825885.55555552</v>
      </c>
      <c r="I9" s="17">
        <v>275008167.00000006</v>
      </c>
      <c r="J9" s="17">
        <v>399699665.44444454</v>
      </c>
      <c r="K9" s="17">
        <v>448766798.16666669</v>
      </c>
      <c r="L9" s="17">
        <v>365702573.88888884</v>
      </c>
      <c r="M9" s="17">
        <v>298341540.66666663</v>
      </c>
      <c r="N9" s="17">
        <v>427713675.22222221</v>
      </c>
      <c r="O9" s="17">
        <v>917921772.22222209</v>
      </c>
      <c r="P9" s="17">
        <v>937562615.33333349</v>
      </c>
      <c r="Q9" s="17">
        <v>841101011.66666651</v>
      </c>
      <c r="R9" s="17">
        <v>749490530.00000012</v>
      </c>
      <c r="S9" s="17">
        <v>675737959.44444442</v>
      </c>
      <c r="T9" s="17">
        <v>755586297.00000012</v>
      </c>
      <c r="U9" s="17">
        <v>951460284.99999988</v>
      </c>
      <c r="V9" s="17">
        <v>1245800735.8333333</v>
      </c>
      <c r="W9" s="17">
        <v>1325475458.9999998</v>
      </c>
      <c r="X9" s="17">
        <v>1228247028.6666665</v>
      </c>
      <c r="Y9" s="17">
        <v>1201486194.9999995</v>
      </c>
      <c r="Z9" s="17">
        <v>1219061081</v>
      </c>
      <c r="AA9" s="17">
        <v>1047623282.3333335</v>
      </c>
      <c r="AB9" s="17">
        <v>1299584686.2222223</v>
      </c>
      <c r="AC9" s="58">
        <v>1867197478.8833337</v>
      </c>
      <c r="AD9" s="58">
        <v>1372320200.4000001</v>
      </c>
      <c r="AE9" s="58">
        <v>1968517139.0740743</v>
      </c>
      <c r="AF9" s="58">
        <v>2192472776.666667</v>
      </c>
      <c r="AG9" s="58">
        <v>3113002806.081018</v>
      </c>
      <c r="AH9" s="58">
        <v>4056632816.4833331</v>
      </c>
      <c r="AI9" s="58">
        <v>3305513830.125</v>
      </c>
      <c r="AJ9" s="58">
        <v>4117731010.7361107</v>
      </c>
      <c r="AK9" s="58">
        <v>9784724760.2366676</v>
      </c>
      <c r="AL9" s="58">
        <v>11046258275.299999</v>
      </c>
    </row>
    <row r="10" spans="1:38" s="15" customFormat="1" ht="18" customHeight="1" x14ac:dyDescent="0.3">
      <c r="A10" s="11" t="s">
        <v>13</v>
      </c>
      <c r="B10" s="132" t="s">
        <v>118</v>
      </c>
      <c r="C10" s="132" t="s">
        <v>118</v>
      </c>
      <c r="D10" s="132" t="s">
        <v>118</v>
      </c>
      <c r="E10" s="132" t="s">
        <v>118</v>
      </c>
      <c r="F10" s="132" t="s">
        <v>118</v>
      </c>
      <c r="G10" s="132" t="s">
        <v>118</v>
      </c>
      <c r="H10" s="132" t="s">
        <v>118</v>
      </c>
      <c r="I10" s="132" t="s">
        <v>118</v>
      </c>
      <c r="J10" s="12">
        <v>4356566262.6867266</v>
      </c>
      <c r="K10" s="12">
        <v>4618545413.7573166</v>
      </c>
      <c r="L10" s="12">
        <v>4984747133.2731934</v>
      </c>
      <c r="M10" s="12">
        <v>5210903611.9710016</v>
      </c>
      <c r="N10" s="12">
        <v>3577472432.6406512</v>
      </c>
      <c r="O10" s="12">
        <v>5650279941.0016623</v>
      </c>
      <c r="P10" s="12">
        <v>5757112332.5772972</v>
      </c>
      <c r="Q10" s="12">
        <v>8928883212.1586914</v>
      </c>
      <c r="R10" s="12">
        <v>10027936251.450491</v>
      </c>
      <c r="S10" s="12">
        <v>10736237504.986557</v>
      </c>
      <c r="T10" s="12">
        <v>9461883984.9008064</v>
      </c>
      <c r="U10" s="12">
        <v>12137077353.090998</v>
      </c>
      <c r="V10" s="12">
        <v>10703871668.090029</v>
      </c>
      <c r="W10" s="12">
        <v>15065057225.880341</v>
      </c>
      <c r="X10" s="12">
        <v>18907101491.377693</v>
      </c>
      <c r="Y10" s="12">
        <v>18366877417.128712</v>
      </c>
      <c r="Z10" s="12">
        <v>13763371834.972214</v>
      </c>
      <c r="AA10" s="12">
        <v>17370349303.372169</v>
      </c>
      <c r="AB10" s="12">
        <v>18501944323.712646</v>
      </c>
      <c r="AC10" s="57">
        <v>24327181630.658501</v>
      </c>
      <c r="AD10" s="57">
        <v>20954758773.528381</v>
      </c>
      <c r="AE10" s="57">
        <v>24413572759.221554</v>
      </c>
      <c r="AF10" s="57">
        <v>19217836678.219009</v>
      </c>
      <c r="AG10" s="57">
        <v>31057403323.670135</v>
      </c>
      <c r="AH10" s="57">
        <v>40797220655.552811</v>
      </c>
      <c r="AI10" s="57">
        <v>56207669813.527473</v>
      </c>
      <c r="AJ10" s="57">
        <v>49484490226.672928</v>
      </c>
      <c r="AK10" s="57">
        <v>69798913374.566681</v>
      </c>
      <c r="AL10" s="57">
        <v>83924447862.333344</v>
      </c>
    </row>
    <row r="11" spans="1:38" s="15" customFormat="1" ht="18" customHeight="1" x14ac:dyDescent="0.3">
      <c r="A11" s="16" t="s">
        <v>14</v>
      </c>
      <c r="B11" s="17">
        <v>2353.0241088000075</v>
      </c>
      <c r="C11" s="17">
        <v>71524.579080454423</v>
      </c>
      <c r="D11" s="17">
        <v>368678.70657999744</v>
      </c>
      <c r="E11" s="17">
        <v>4309202.29786772</v>
      </c>
      <c r="F11" s="17">
        <v>80333732.073618799</v>
      </c>
      <c r="G11" s="17">
        <v>2381905466.5961661</v>
      </c>
      <c r="H11" s="17">
        <v>3797002961.2424998</v>
      </c>
      <c r="I11" s="17">
        <v>4808912201.8649998</v>
      </c>
      <c r="J11" s="17">
        <v>5536550153.3708334</v>
      </c>
      <c r="K11" s="17">
        <v>5841426413.7633333</v>
      </c>
      <c r="L11" s="17">
        <v>5026077424.6000004</v>
      </c>
      <c r="M11" s="17">
        <v>6090581647.934166</v>
      </c>
      <c r="N11" s="17">
        <v>8690527172.8166656</v>
      </c>
      <c r="O11" s="17">
        <v>9529390544.0933342</v>
      </c>
      <c r="P11" s="17">
        <v>11906435540.401667</v>
      </c>
      <c r="Q11" s="17">
        <v>11815374044.65</v>
      </c>
      <c r="R11" s="17">
        <v>13402438720.125</v>
      </c>
      <c r="S11" s="17">
        <v>18720067466.974998</v>
      </c>
      <c r="T11" s="17">
        <v>20370778788.555004</v>
      </c>
      <c r="U11" s="17">
        <v>20499573531.685001</v>
      </c>
      <c r="V11" s="17">
        <v>25531217254.960831</v>
      </c>
      <c r="W11" s="17">
        <v>30248871399.374168</v>
      </c>
      <c r="X11" s="17">
        <v>39480350898.462502</v>
      </c>
      <c r="Y11" s="17">
        <v>44852809944.617493</v>
      </c>
      <c r="Z11" s="17">
        <v>49491907759.139999</v>
      </c>
      <c r="AA11" s="17">
        <v>46821674402.733337</v>
      </c>
      <c r="AB11" s="17">
        <v>47379935282.485001</v>
      </c>
      <c r="AC11" s="58">
        <v>54847764816.973335</v>
      </c>
      <c r="AD11" s="58">
        <v>67770256158.099129</v>
      </c>
      <c r="AE11" s="58">
        <v>59719437962.306778</v>
      </c>
      <c r="AF11" s="58">
        <v>57215342576.149094</v>
      </c>
      <c r="AG11" s="58">
        <v>62672959447.102455</v>
      </c>
      <c r="AH11" s="58">
        <v>83768258560.248215</v>
      </c>
      <c r="AI11" s="58">
        <v>99826459026.045578</v>
      </c>
      <c r="AJ11" s="58">
        <v>113954876456.34621</v>
      </c>
      <c r="AK11" s="58">
        <v>114821709436.314</v>
      </c>
      <c r="AL11" s="58">
        <v>116827356649.93848</v>
      </c>
    </row>
    <row r="12" spans="1:38" s="15" customFormat="1" ht="18" customHeight="1" x14ac:dyDescent="0.3">
      <c r="A12" s="11" t="s">
        <v>77</v>
      </c>
      <c r="B12" s="12">
        <v>216.87585816325</v>
      </c>
      <c r="C12" s="12">
        <v>10589.449718181395</v>
      </c>
      <c r="D12" s="12">
        <v>26424.165449696655</v>
      </c>
      <c r="E12" s="12">
        <v>508536.90059454413</v>
      </c>
      <c r="F12" s="12">
        <v>5791032.2909090873</v>
      </c>
      <c r="G12" s="12">
        <v>206384299.75303018</v>
      </c>
      <c r="H12" s="12">
        <v>409917375.83333331</v>
      </c>
      <c r="I12" s="12">
        <v>200972531.66666666</v>
      </c>
      <c r="J12" s="12">
        <v>426615711.66666669</v>
      </c>
      <c r="K12" s="12">
        <v>366027973.33333325</v>
      </c>
      <c r="L12" s="12">
        <v>406997543.33333343</v>
      </c>
      <c r="M12" s="12">
        <v>471205289.99999994</v>
      </c>
      <c r="N12" s="12">
        <v>526055300</v>
      </c>
      <c r="O12" s="12">
        <v>635504480</v>
      </c>
      <c r="P12" s="12">
        <v>695888993.33333325</v>
      </c>
      <c r="Q12" s="12">
        <v>873959310</v>
      </c>
      <c r="R12" s="12">
        <v>677870050.00000012</v>
      </c>
      <c r="S12" s="12">
        <v>656128687.5</v>
      </c>
      <c r="T12" s="12">
        <v>739096876.66666687</v>
      </c>
      <c r="U12" s="12">
        <v>1299851921.666667</v>
      </c>
      <c r="V12" s="12">
        <v>1201923135</v>
      </c>
      <c r="W12" s="12">
        <v>2086440090</v>
      </c>
      <c r="X12" s="12">
        <v>892409290</v>
      </c>
      <c r="Y12" s="12">
        <v>1229499571.4291668</v>
      </c>
      <c r="Z12" s="12">
        <v>2890402300.2384262</v>
      </c>
      <c r="AA12" s="12">
        <v>3561767197.3333335</v>
      </c>
      <c r="AB12" s="12">
        <v>2880857369.1212301</v>
      </c>
      <c r="AC12" s="57">
        <v>3618382365.8888884</v>
      </c>
      <c r="AD12" s="57">
        <v>1847113309.2003965</v>
      </c>
      <c r="AE12" s="133" t="s">
        <v>118</v>
      </c>
      <c r="AF12" s="133" t="s">
        <v>118</v>
      </c>
      <c r="AG12" s="133" t="s">
        <v>118</v>
      </c>
      <c r="AH12" s="133" t="s">
        <v>118</v>
      </c>
      <c r="AI12" s="133" t="s">
        <v>118</v>
      </c>
      <c r="AJ12" s="133" t="s">
        <v>118</v>
      </c>
      <c r="AK12" s="133" t="s">
        <v>118</v>
      </c>
      <c r="AL12" s="133" t="s">
        <v>118</v>
      </c>
    </row>
    <row r="13" spans="1:38" s="15" customFormat="1" ht="18" customHeight="1" x14ac:dyDescent="0.3">
      <c r="A13" s="16" t="s">
        <v>15</v>
      </c>
      <c r="B13" s="17">
        <v>1363.3296596704165</v>
      </c>
      <c r="C13" s="17">
        <v>32225.753918483813</v>
      </c>
      <c r="D13" s="17">
        <v>180283.43097787772</v>
      </c>
      <c r="E13" s="17">
        <v>1892598.6659424205</v>
      </c>
      <c r="F13" s="17">
        <v>43549202.000757523</v>
      </c>
      <c r="G13" s="17">
        <v>1487215138.9818177</v>
      </c>
      <c r="H13" s="17">
        <v>1468173720</v>
      </c>
      <c r="I13" s="17">
        <v>1493698596.6666665</v>
      </c>
      <c r="J13" s="17">
        <v>1673376500.8333328</v>
      </c>
      <c r="K13" s="17">
        <v>2286102963.333333</v>
      </c>
      <c r="L13" s="17">
        <v>2132622633.3333335</v>
      </c>
      <c r="M13" s="17">
        <v>1884711550</v>
      </c>
      <c r="N13" s="17">
        <v>2335086418.3333335</v>
      </c>
      <c r="O13" s="17">
        <v>3518755153.333333</v>
      </c>
      <c r="P13" s="17">
        <v>4468758093.333333</v>
      </c>
      <c r="Q13" s="17">
        <v>3421948073.3333335</v>
      </c>
      <c r="R13" s="17">
        <v>3943241505</v>
      </c>
      <c r="S13" s="17">
        <v>4117596813.333333</v>
      </c>
      <c r="T13" s="17">
        <v>4138650709.9999995</v>
      </c>
      <c r="U13" s="17">
        <v>8252063361.666667</v>
      </c>
      <c r="V13" s="17">
        <v>5703763140.833333</v>
      </c>
      <c r="W13" s="17">
        <v>5435949020.833334</v>
      </c>
      <c r="X13" s="17">
        <v>5794317320</v>
      </c>
      <c r="Y13" s="17">
        <v>7229355679.999999</v>
      </c>
      <c r="Z13" s="17">
        <v>8036604221.6666651</v>
      </c>
      <c r="AA13" s="17">
        <v>7673639891.6666679</v>
      </c>
      <c r="AB13" s="17">
        <v>7835760501.666666</v>
      </c>
      <c r="AC13" s="58">
        <v>11156497890.000002</v>
      </c>
      <c r="AD13" s="58">
        <v>8255612097.8445158</v>
      </c>
      <c r="AE13" s="58">
        <v>5651089792.5113811</v>
      </c>
      <c r="AF13" s="58">
        <v>9394188124.3795967</v>
      </c>
      <c r="AG13" s="58">
        <v>11759422986.610933</v>
      </c>
      <c r="AH13" s="58">
        <v>12733782721.472197</v>
      </c>
      <c r="AI13" s="58">
        <v>15464378427.866756</v>
      </c>
      <c r="AJ13" s="58">
        <v>14980658387.613028</v>
      </c>
      <c r="AK13" s="58">
        <v>14352028646.224825</v>
      </c>
      <c r="AL13" s="58">
        <v>14530299024.830158</v>
      </c>
    </row>
    <row r="14" spans="1:38" s="15" customFormat="1" ht="18" customHeight="1" x14ac:dyDescent="0.3">
      <c r="A14" s="11" t="s">
        <v>78</v>
      </c>
      <c r="B14" s="12">
        <v>465.39013642133324</v>
      </c>
      <c r="C14" s="12">
        <v>13733.750886666438</v>
      </c>
      <c r="D14" s="12">
        <v>64642.659459999843</v>
      </c>
      <c r="E14" s="12">
        <v>1430556.2739999983</v>
      </c>
      <c r="F14" s="12">
        <v>31763897.805605963</v>
      </c>
      <c r="G14" s="12">
        <v>543731616.14333308</v>
      </c>
      <c r="H14" s="12">
        <v>749336993.33333337</v>
      </c>
      <c r="I14" s="12">
        <v>967575139.99999988</v>
      </c>
      <c r="J14" s="12">
        <v>1173010680</v>
      </c>
      <c r="K14" s="12">
        <v>1027551099.9999999</v>
      </c>
      <c r="L14" s="12">
        <v>1337216020.8333333</v>
      </c>
      <c r="M14" s="12">
        <v>1276848717.5</v>
      </c>
      <c r="N14" s="12">
        <v>1360148212.5</v>
      </c>
      <c r="O14" s="12">
        <v>1796428120</v>
      </c>
      <c r="P14" s="12">
        <v>2384193333.3333335</v>
      </c>
      <c r="Q14" s="12">
        <v>3837135365</v>
      </c>
      <c r="R14" s="12">
        <v>3994263928.3333335</v>
      </c>
      <c r="S14" s="12">
        <v>4145504187.500001</v>
      </c>
      <c r="T14" s="12">
        <v>4518406327.5</v>
      </c>
      <c r="U14" s="12">
        <v>4943937765</v>
      </c>
      <c r="V14" s="12">
        <v>5070589125.000001</v>
      </c>
      <c r="W14" s="12">
        <v>4399957945</v>
      </c>
      <c r="X14" s="12">
        <v>4735073397.5</v>
      </c>
      <c r="Y14" s="12">
        <v>5365841000</v>
      </c>
      <c r="Z14" s="12">
        <v>6467241482.499999</v>
      </c>
      <c r="AA14" s="12">
        <v>6954505076.666667</v>
      </c>
      <c r="AB14" s="12">
        <v>7188204562.4999981</v>
      </c>
      <c r="AC14" s="57">
        <v>5622802863.3333349</v>
      </c>
      <c r="AD14" s="133" t="s">
        <v>118</v>
      </c>
      <c r="AE14" s="133" t="s">
        <v>118</v>
      </c>
      <c r="AF14" s="133" t="s">
        <v>118</v>
      </c>
      <c r="AG14" s="133" t="s">
        <v>118</v>
      </c>
      <c r="AH14" s="133" t="s">
        <v>118</v>
      </c>
      <c r="AI14" s="133" t="s">
        <v>118</v>
      </c>
      <c r="AJ14" s="133" t="s">
        <v>118</v>
      </c>
      <c r="AK14" s="133" t="s">
        <v>118</v>
      </c>
      <c r="AL14" s="133" t="s">
        <v>118</v>
      </c>
    </row>
    <row r="15" spans="1:38" s="15" customFormat="1" ht="18" customHeight="1" x14ac:dyDescent="0.3">
      <c r="A15" s="16" t="s">
        <v>16</v>
      </c>
      <c r="B15" s="17">
        <v>1717.3046439798609</v>
      </c>
      <c r="C15" s="17">
        <v>50152.227045054133</v>
      </c>
      <c r="D15" s="17">
        <v>237183.72628517234</v>
      </c>
      <c r="E15" s="17">
        <v>2458516.7581091789</v>
      </c>
      <c r="F15" s="17">
        <v>46232654.193628974</v>
      </c>
      <c r="G15" s="17">
        <v>1384091466.9180603</v>
      </c>
      <c r="H15" s="17">
        <v>2533377129.25</v>
      </c>
      <c r="I15" s="17">
        <v>1934002176.8999999</v>
      </c>
      <c r="J15" s="17">
        <v>2580281428.625</v>
      </c>
      <c r="K15" s="17">
        <v>2926020671.8666668</v>
      </c>
      <c r="L15" s="17">
        <v>3216510279.8000002</v>
      </c>
      <c r="M15" s="17">
        <v>2324109339.4583335</v>
      </c>
      <c r="N15" s="17">
        <v>4601449691.250001</v>
      </c>
      <c r="O15" s="17">
        <v>6316805166.1458321</v>
      </c>
      <c r="P15" s="17">
        <v>6482420531.562501</v>
      </c>
      <c r="Q15" s="17">
        <v>6336355314.114583</v>
      </c>
      <c r="R15" s="17">
        <v>6412361610.833333</v>
      </c>
      <c r="S15" s="17">
        <v>7778313347.1875</v>
      </c>
      <c r="T15" s="17">
        <v>7702690430.989584</v>
      </c>
      <c r="U15" s="17">
        <v>8818141727.708334</v>
      </c>
      <c r="V15" s="17">
        <v>7864068567.7083321</v>
      </c>
      <c r="W15" s="17">
        <v>10777114762.343752</v>
      </c>
      <c r="X15" s="17">
        <v>12999978923.75</v>
      </c>
      <c r="Y15" s="17">
        <v>8176914926.3071899</v>
      </c>
      <c r="Z15" s="17">
        <v>9379218562.7799568</v>
      </c>
      <c r="AA15" s="17">
        <v>11920209635.284313</v>
      </c>
      <c r="AB15" s="17">
        <v>10776007761.234659</v>
      </c>
      <c r="AC15" s="58">
        <v>12662920328.503759</v>
      </c>
      <c r="AD15" s="58">
        <v>14210268761.668056</v>
      </c>
      <c r="AE15" s="58">
        <v>12197230167.896799</v>
      </c>
      <c r="AF15" s="58">
        <v>12940125196.989157</v>
      </c>
      <c r="AG15" s="58">
        <v>13269499011.652142</v>
      </c>
      <c r="AH15" s="58">
        <v>16523276397.118587</v>
      </c>
      <c r="AI15" s="58">
        <v>17514066558.753246</v>
      </c>
      <c r="AJ15" s="58">
        <v>20695521533.833736</v>
      </c>
      <c r="AK15" s="58">
        <v>27838279723.960903</v>
      </c>
      <c r="AL15" s="58">
        <v>35658910762.728683</v>
      </c>
    </row>
    <row r="16" spans="1:38" s="15" customFormat="1" ht="18" customHeight="1" x14ac:dyDescent="0.3">
      <c r="A16" s="11" t="s">
        <v>17</v>
      </c>
      <c r="B16" s="12">
        <v>32.524303345275001</v>
      </c>
      <c r="C16" s="12">
        <v>628.20415454539841</v>
      </c>
      <c r="D16" s="12">
        <v>2408.2383490908433</v>
      </c>
      <c r="E16" s="12">
        <v>22409.089018181778</v>
      </c>
      <c r="F16" s="12">
        <v>250557.14509090854</v>
      </c>
      <c r="G16" s="12">
        <v>7336662.1490909075</v>
      </c>
      <c r="H16" s="12">
        <v>7762390.8333333349</v>
      </c>
      <c r="I16" s="12">
        <v>10508775</v>
      </c>
      <c r="J16" s="12">
        <v>23711616.666666664</v>
      </c>
      <c r="K16" s="12">
        <v>3934407.5</v>
      </c>
      <c r="L16" s="12">
        <v>10618645</v>
      </c>
      <c r="M16" s="12">
        <v>50717397.5</v>
      </c>
      <c r="N16" s="12">
        <v>37897708.333333336</v>
      </c>
      <c r="O16" s="12">
        <v>32473327.500000004</v>
      </c>
      <c r="P16" s="12">
        <v>53905155</v>
      </c>
      <c r="Q16" s="12">
        <v>109724170.83333334</v>
      </c>
      <c r="R16" s="12">
        <v>112112661.66666667</v>
      </c>
      <c r="S16" s="12">
        <v>52329166.666666672</v>
      </c>
      <c r="T16" s="12">
        <v>59703049.999999993</v>
      </c>
      <c r="U16" s="12">
        <v>87940800</v>
      </c>
      <c r="V16" s="132" t="s">
        <v>118</v>
      </c>
      <c r="W16" s="132" t="s">
        <v>118</v>
      </c>
      <c r="X16" s="12">
        <v>136921543.30767196</v>
      </c>
      <c r="Y16" s="12">
        <v>33340028.756481476</v>
      </c>
      <c r="Z16" s="12">
        <v>17115329.231481481</v>
      </c>
      <c r="AA16" s="12">
        <v>51987981.371671081</v>
      </c>
      <c r="AB16" s="12">
        <v>61669266.614583336</v>
      </c>
      <c r="AC16" s="57">
        <v>44645748.425925925</v>
      </c>
      <c r="AD16" s="57">
        <v>27339745.041666668</v>
      </c>
      <c r="AE16" s="57">
        <v>47209183.375000007</v>
      </c>
      <c r="AF16" s="57">
        <v>64596399.166666664</v>
      </c>
      <c r="AG16" s="57">
        <v>89254509.833333358</v>
      </c>
      <c r="AH16" s="57">
        <v>87513427.222222224</v>
      </c>
      <c r="AI16" s="57">
        <v>125214829.44444445</v>
      </c>
      <c r="AJ16" s="57">
        <v>103161164.19444445</v>
      </c>
      <c r="AK16" s="57">
        <v>116046649.88333334</v>
      </c>
      <c r="AL16" s="57">
        <v>149051469.33333334</v>
      </c>
    </row>
    <row r="17" spans="1:60" s="15" customFormat="1" ht="18" customHeight="1" x14ac:dyDescent="0.3">
      <c r="A17" s="16" t="s">
        <v>18</v>
      </c>
      <c r="B17" s="17">
        <v>1006.9194772777499</v>
      </c>
      <c r="C17" s="17">
        <v>24801.942351000042</v>
      </c>
      <c r="D17" s="17">
        <v>140300.24866469693</v>
      </c>
      <c r="E17" s="17">
        <v>1591973.1575999998</v>
      </c>
      <c r="F17" s="17">
        <v>30765266.008600909</v>
      </c>
      <c r="G17" s="17">
        <v>657385947.94069695</v>
      </c>
      <c r="H17" s="17">
        <v>1673847620.5600002</v>
      </c>
      <c r="I17" s="17">
        <v>1359584037.8374996</v>
      </c>
      <c r="J17" s="17">
        <v>1530449248.9416666</v>
      </c>
      <c r="K17" s="17">
        <v>1446695294.7958331</v>
      </c>
      <c r="L17" s="17">
        <v>1698478984.6500001</v>
      </c>
      <c r="M17" s="17">
        <v>1793490900.7166669</v>
      </c>
      <c r="N17" s="17">
        <v>1560542105.9216666</v>
      </c>
      <c r="O17" s="17">
        <v>1809194201.4699996</v>
      </c>
      <c r="P17" s="17">
        <v>3121548195.4799995</v>
      </c>
      <c r="Q17" s="17">
        <v>4500963456.3891678</v>
      </c>
      <c r="R17" s="17">
        <v>4460615666.1625004</v>
      </c>
      <c r="S17" s="17">
        <v>4344290240.04</v>
      </c>
      <c r="T17" s="17">
        <v>4253138829.3333335</v>
      </c>
      <c r="U17" s="17">
        <v>5078383957.0199995</v>
      </c>
      <c r="V17" s="17">
        <v>5169718998.3891668</v>
      </c>
      <c r="W17" s="17">
        <v>5697002731.2366667</v>
      </c>
      <c r="X17" s="17">
        <v>5869390705.4433336</v>
      </c>
      <c r="Y17" s="17">
        <v>5645916465</v>
      </c>
      <c r="Z17" s="17">
        <v>6411535177.7400017</v>
      </c>
      <c r="AA17" s="17">
        <v>7203277316.8133335</v>
      </c>
      <c r="AB17" s="17">
        <v>6840507460.2400007</v>
      </c>
      <c r="AC17" s="58">
        <v>6335032583.3275003</v>
      </c>
      <c r="AD17" s="58">
        <v>11981538798.777378</v>
      </c>
      <c r="AE17" s="58">
        <v>9571926482.0574131</v>
      </c>
      <c r="AF17" s="58">
        <v>8328214328.984766</v>
      </c>
      <c r="AG17" s="58">
        <v>9371144091.7869492</v>
      </c>
      <c r="AH17" s="58">
        <v>11242296737.796091</v>
      </c>
      <c r="AI17" s="58">
        <v>14629240730.035128</v>
      </c>
      <c r="AJ17" s="58">
        <v>20276058784.365215</v>
      </c>
      <c r="AK17" s="58">
        <v>18516652915.494095</v>
      </c>
      <c r="AL17" s="58">
        <v>17841673939.349571</v>
      </c>
    </row>
    <row r="18" spans="1:60" s="15" customFormat="1" ht="18" customHeight="1" x14ac:dyDescent="0.3">
      <c r="A18" s="11" t="s">
        <v>19</v>
      </c>
      <c r="B18" s="12">
        <v>2852.3663825664498</v>
      </c>
      <c r="C18" s="12">
        <v>72582.43159998933</v>
      </c>
      <c r="D18" s="12">
        <v>408414.72636362369</v>
      </c>
      <c r="E18" s="12">
        <v>5321377.8625090746</v>
      </c>
      <c r="F18" s="12">
        <v>120037644.31821188</v>
      </c>
      <c r="G18" s="12">
        <v>2598222421.212121</v>
      </c>
      <c r="H18" s="12">
        <v>4080031987.5</v>
      </c>
      <c r="I18" s="12">
        <v>4274944035.8333335</v>
      </c>
      <c r="J18" s="12">
        <v>4118505500</v>
      </c>
      <c r="K18" s="12">
        <v>4242917930</v>
      </c>
      <c r="L18" s="12">
        <v>5480711430</v>
      </c>
      <c r="M18" s="12">
        <v>6518068333.333334</v>
      </c>
      <c r="N18" s="12">
        <v>6818902187.499999</v>
      </c>
      <c r="O18" s="12">
        <v>9374567013.3333321</v>
      </c>
      <c r="P18" s="12">
        <v>15303652283.333336</v>
      </c>
      <c r="Q18" s="12">
        <v>12640736295</v>
      </c>
      <c r="R18" s="12">
        <v>10124338293.333334</v>
      </c>
      <c r="S18" s="12">
        <v>11198690212.5</v>
      </c>
      <c r="T18" s="12">
        <v>17414165847.500004</v>
      </c>
      <c r="U18" s="12">
        <v>23327783187.5</v>
      </c>
      <c r="V18" s="12">
        <v>16061276966.666666</v>
      </c>
      <c r="W18" s="12">
        <v>16563144407.499998</v>
      </c>
      <c r="X18" s="12">
        <v>23980284579.16666</v>
      </c>
      <c r="Y18" s="12">
        <v>31449718425.000004</v>
      </c>
      <c r="Z18" s="12">
        <v>34985724130</v>
      </c>
      <c r="AA18" s="12">
        <v>34946499875</v>
      </c>
      <c r="AB18" s="12">
        <v>39230941760.000008</v>
      </c>
      <c r="AC18" s="57">
        <v>41105237804.999992</v>
      </c>
      <c r="AD18" s="57">
        <v>47649322971.041962</v>
      </c>
      <c r="AE18" s="57">
        <v>46151037062.077347</v>
      </c>
      <c r="AF18" s="57">
        <v>61747463001.072777</v>
      </c>
      <c r="AG18" s="57">
        <v>88095577275.230515</v>
      </c>
      <c r="AH18" s="57">
        <v>120626653311.38708</v>
      </c>
      <c r="AI18" s="57">
        <v>149478961227.7345</v>
      </c>
      <c r="AJ18" s="57">
        <v>142333604676.15829</v>
      </c>
      <c r="AK18" s="57">
        <v>118429943407.50569</v>
      </c>
      <c r="AL18" s="57">
        <v>123984640020.80002</v>
      </c>
    </row>
    <row r="19" spans="1:60" s="15" customFormat="1" ht="18" customHeight="1" x14ac:dyDescent="0.3">
      <c r="A19" s="16" t="s">
        <v>79</v>
      </c>
      <c r="B19" s="17">
        <v>90.660552255166664</v>
      </c>
      <c r="C19" s="17">
        <v>1656.1754999999605</v>
      </c>
      <c r="D19" s="17">
        <v>6823.3121981817831</v>
      </c>
      <c r="E19" s="17">
        <v>29019.177773939318</v>
      </c>
      <c r="F19" s="17">
        <v>940374.28545454412</v>
      </c>
      <c r="G19" s="17">
        <v>30980989.875757571</v>
      </c>
      <c r="H19" s="17">
        <v>52950170.000000007</v>
      </c>
      <c r="I19" s="17">
        <v>49204155</v>
      </c>
      <c r="J19" s="17">
        <v>72033245.000000015</v>
      </c>
      <c r="K19" s="17">
        <v>98788458.333333343</v>
      </c>
      <c r="L19" s="17">
        <v>161324928.33333331</v>
      </c>
      <c r="M19" s="17">
        <v>256546025.00000003</v>
      </c>
      <c r="N19" s="17">
        <v>148665100.00000003</v>
      </c>
      <c r="O19" s="17">
        <v>192168640</v>
      </c>
      <c r="P19" s="17">
        <v>247228962.49999994</v>
      </c>
      <c r="Q19" s="17">
        <v>197728999.99999997</v>
      </c>
      <c r="R19" s="17">
        <v>219573968.33333334</v>
      </c>
      <c r="S19" s="17">
        <v>211364940</v>
      </c>
      <c r="T19" s="17">
        <v>265001275.00000003</v>
      </c>
      <c r="U19" s="17">
        <v>284373999.99999994</v>
      </c>
      <c r="V19" s="17">
        <v>250287488.57142857</v>
      </c>
      <c r="W19" s="17">
        <v>276326100</v>
      </c>
      <c r="X19" s="17">
        <v>369407974.99999994</v>
      </c>
      <c r="Y19" s="17">
        <v>439373816.66666675</v>
      </c>
      <c r="Z19" s="17">
        <v>469733720</v>
      </c>
      <c r="AA19" s="17">
        <v>678329584.16666675</v>
      </c>
      <c r="AB19" s="17">
        <v>1260002741.3888888</v>
      </c>
      <c r="AC19" s="58">
        <v>1334117325</v>
      </c>
      <c r="AD19" s="58">
        <v>1347923038.8888888</v>
      </c>
      <c r="AE19" s="134" t="s">
        <v>118</v>
      </c>
      <c r="AF19" s="134" t="s">
        <v>118</v>
      </c>
      <c r="AG19" s="134" t="s">
        <v>118</v>
      </c>
      <c r="AH19" s="134" t="s">
        <v>118</v>
      </c>
      <c r="AI19" s="134" t="s">
        <v>118</v>
      </c>
      <c r="AJ19" s="134" t="s">
        <v>118</v>
      </c>
      <c r="AK19" s="134" t="s">
        <v>118</v>
      </c>
      <c r="AL19" s="134" t="s">
        <v>118</v>
      </c>
    </row>
    <row r="20" spans="1:60" s="15" customFormat="1" ht="18" customHeight="1" x14ac:dyDescent="0.3">
      <c r="A20" s="11" t="s">
        <v>20</v>
      </c>
      <c r="B20" s="12">
        <v>4190.8228309800661</v>
      </c>
      <c r="C20" s="12">
        <v>76009.611279993362</v>
      </c>
      <c r="D20" s="12">
        <v>359186.33518181124</v>
      </c>
      <c r="E20" s="12">
        <v>5352226.9645605981</v>
      </c>
      <c r="F20" s="12">
        <v>136055876.44272679</v>
      </c>
      <c r="G20" s="12">
        <v>3030645502.014544</v>
      </c>
      <c r="H20" s="12">
        <v>4152026314.9999995</v>
      </c>
      <c r="I20" s="12">
        <v>5366992476.6666651</v>
      </c>
      <c r="J20" s="12">
        <v>7082023993.333334</v>
      </c>
      <c r="K20" s="12">
        <v>7044174000</v>
      </c>
      <c r="L20" s="12">
        <v>8160035346.6666679</v>
      </c>
      <c r="M20" s="12">
        <v>9381286098.333334</v>
      </c>
      <c r="N20" s="12">
        <v>13425487562.5</v>
      </c>
      <c r="O20" s="12">
        <v>21123988363.333336</v>
      </c>
      <c r="P20" s="12">
        <v>32016987999.999996</v>
      </c>
      <c r="Q20" s="12">
        <v>32744252677.499996</v>
      </c>
      <c r="R20" s="12">
        <v>24780654161.666664</v>
      </c>
      <c r="S20" s="12">
        <v>22035148800.000004</v>
      </c>
      <c r="T20" s="12">
        <v>29362514789.999996</v>
      </c>
      <c r="U20" s="12">
        <v>42631087312.5</v>
      </c>
      <c r="V20" s="12">
        <v>42101067951.666656</v>
      </c>
      <c r="W20" s="12">
        <v>43545683900</v>
      </c>
      <c r="X20" s="12">
        <v>52744890135</v>
      </c>
      <c r="Y20" s="12">
        <v>65300116524.999992</v>
      </c>
      <c r="Z20" s="12">
        <v>81996891923.333344</v>
      </c>
      <c r="AA20" s="12">
        <v>87483524333.333328</v>
      </c>
      <c r="AB20" s="12">
        <v>102825507480</v>
      </c>
      <c r="AC20" s="57">
        <v>114031358828.33334</v>
      </c>
      <c r="AD20" s="57">
        <v>117564168223.70663</v>
      </c>
      <c r="AE20" s="57">
        <v>139435902508.3494</v>
      </c>
      <c r="AF20" s="57">
        <v>133664023349.15105</v>
      </c>
      <c r="AG20" s="57">
        <v>215847331971.2728</v>
      </c>
      <c r="AH20" s="57">
        <v>350531791377.44531</v>
      </c>
      <c r="AI20" s="57">
        <v>340041241956.79907</v>
      </c>
      <c r="AJ20" s="57">
        <v>335509457697.36298</v>
      </c>
      <c r="AK20" s="57">
        <v>281367968221.50745</v>
      </c>
      <c r="AL20" s="57">
        <v>339246078442.68762</v>
      </c>
    </row>
    <row r="21" spans="1:60" s="15" customFormat="1" ht="18" customHeight="1" x14ac:dyDescent="0.3">
      <c r="A21" s="16" t="s">
        <v>21</v>
      </c>
      <c r="B21" s="17">
        <v>576.24783106375003</v>
      </c>
      <c r="C21" s="17">
        <v>20187.522692726157</v>
      </c>
      <c r="D21" s="17">
        <v>83995.0837824232</v>
      </c>
      <c r="E21" s="17">
        <v>712176.95570151415</v>
      </c>
      <c r="F21" s="17">
        <v>17110587.095151484</v>
      </c>
      <c r="G21" s="17">
        <v>712817305.22727263</v>
      </c>
      <c r="H21" s="17">
        <v>1040756133.3333333</v>
      </c>
      <c r="I21" s="17">
        <v>913776314.99999988</v>
      </c>
      <c r="J21" s="17">
        <v>867483829.16666663</v>
      </c>
      <c r="K21" s="17">
        <v>1136845325.0000002</v>
      </c>
      <c r="L21" s="17">
        <v>1275199615.8333335</v>
      </c>
      <c r="M21" s="17">
        <v>1317102685</v>
      </c>
      <c r="N21" s="17">
        <v>1337032225.833333</v>
      </c>
      <c r="O21" s="17">
        <v>1838637909.9999998</v>
      </c>
      <c r="P21" s="17">
        <v>2682555446.6666665</v>
      </c>
      <c r="Q21" s="17">
        <v>3216743805</v>
      </c>
      <c r="R21" s="17">
        <v>3228529755</v>
      </c>
      <c r="S21" s="17">
        <v>2847047900</v>
      </c>
      <c r="T21" s="17">
        <v>3342591840</v>
      </c>
      <c r="U21" s="17">
        <v>4122275620.8333325</v>
      </c>
      <c r="V21" s="17">
        <v>4978600935</v>
      </c>
      <c r="W21" s="17">
        <v>5229383906.666667</v>
      </c>
      <c r="X21" s="17">
        <v>6231159863.3333321</v>
      </c>
      <c r="Y21" s="17">
        <v>6188691037.5</v>
      </c>
      <c r="Z21" s="17">
        <v>12500123310</v>
      </c>
      <c r="AA21" s="17">
        <v>13833428054.999998</v>
      </c>
      <c r="AB21" s="17">
        <v>13711322700.833332</v>
      </c>
      <c r="AC21" s="58">
        <v>8613382594.1666679</v>
      </c>
      <c r="AD21" s="58">
        <v>8215368644.5347319</v>
      </c>
      <c r="AE21" s="58">
        <v>9184786252.9714222</v>
      </c>
      <c r="AF21" s="58">
        <v>10053006182.868132</v>
      </c>
      <c r="AG21" s="58">
        <v>9871270697.1446228</v>
      </c>
      <c r="AH21" s="58">
        <v>11082141923.274132</v>
      </c>
      <c r="AI21" s="58">
        <v>15055298052.156775</v>
      </c>
      <c r="AJ21" s="58">
        <v>17874340707.435989</v>
      </c>
      <c r="AK21" s="58">
        <v>18783161362.955269</v>
      </c>
      <c r="AL21" s="58">
        <v>12776074429.874533</v>
      </c>
    </row>
    <row r="22" spans="1:60" s="15" customFormat="1" ht="18" customHeight="1" x14ac:dyDescent="0.3">
      <c r="A22" s="11" t="s">
        <v>22</v>
      </c>
      <c r="B22" s="12">
        <v>759.25805036960014</v>
      </c>
      <c r="C22" s="12">
        <v>9563.5642396953062</v>
      </c>
      <c r="D22" s="12">
        <v>44422.330404241293</v>
      </c>
      <c r="E22" s="12">
        <v>582034.18493999902</v>
      </c>
      <c r="F22" s="12">
        <v>8418462.6929090656</v>
      </c>
      <c r="G22" s="12">
        <v>179347026.81999996</v>
      </c>
      <c r="H22" s="12">
        <v>217298391.66666672</v>
      </c>
      <c r="I22" s="12">
        <v>622883649.16666675</v>
      </c>
      <c r="J22" s="12">
        <v>373360500</v>
      </c>
      <c r="K22" s="12">
        <v>348043206.66666657</v>
      </c>
      <c r="L22" s="12">
        <v>484165013.33333331</v>
      </c>
      <c r="M22" s="12">
        <v>373921600.00000006</v>
      </c>
      <c r="N22" s="12">
        <v>844455249.16666651</v>
      </c>
      <c r="O22" s="12">
        <v>1156857605</v>
      </c>
      <c r="P22" s="12">
        <v>2799842500</v>
      </c>
      <c r="Q22" s="12">
        <v>2385726860</v>
      </c>
      <c r="R22" s="12">
        <v>1611164874.9999998</v>
      </c>
      <c r="S22" s="12">
        <v>844848320.00000012</v>
      </c>
      <c r="T22" s="12">
        <v>1817041841.6666663</v>
      </c>
      <c r="U22" s="12">
        <v>3068814200.8333325</v>
      </c>
      <c r="V22" s="12">
        <v>2161236937.5</v>
      </c>
      <c r="W22" s="12">
        <v>2555926041.6666675</v>
      </c>
      <c r="X22" s="12">
        <v>2389818060</v>
      </c>
      <c r="Y22" s="12">
        <v>3035735808.7874999</v>
      </c>
      <c r="Z22" s="12">
        <v>4295947734.3254929</v>
      </c>
      <c r="AA22" s="12">
        <v>3869218690.7101841</v>
      </c>
      <c r="AB22" s="12">
        <v>3407161389.3887672</v>
      </c>
      <c r="AC22" s="57">
        <v>4914879704.0939531</v>
      </c>
      <c r="AD22" s="57">
        <v>2521762701.6236076</v>
      </c>
      <c r="AE22" s="57">
        <v>4298643280.3254786</v>
      </c>
      <c r="AF22" s="57">
        <v>4358302328.6542864</v>
      </c>
      <c r="AG22" s="57">
        <v>7156266204.7295094</v>
      </c>
      <c r="AH22" s="57">
        <v>11964887812.116203</v>
      </c>
      <c r="AI22" s="57">
        <v>18570259052.415653</v>
      </c>
      <c r="AJ22" s="57">
        <v>10435788683.76499</v>
      </c>
      <c r="AK22" s="57">
        <v>11003097530.712502</v>
      </c>
      <c r="AL22" s="57">
        <v>11422657254.24</v>
      </c>
    </row>
    <row r="23" spans="1:60" s="15" customFormat="1" ht="18" customHeight="1" x14ac:dyDescent="0.3">
      <c r="A23" s="16" t="s">
        <v>23</v>
      </c>
      <c r="B23" s="17">
        <v>161.66987004653333</v>
      </c>
      <c r="C23" s="17">
        <v>5279.5613109085971</v>
      </c>
      <c r="D23" s="17">
        <v>11847.289880605813</v>
      </c>
      <c r="E23" s="17">
        <v>28636.008479999869</v>
      </c>
      <c r="F23" s="17">
        <v>892941.22045454418</v>
      </c>
      <c r="G23" s="17">
        <v>82238570.909090906</v>
      </c>
      <c r="H23" s="17">
        <v>235626841.66666669</v>
      </c>
      <c r="I23" s="17">
        <v>112438078.33333333</v>
      </c>
      <c r="J23" s="17">
        <v>203378326.66666663</v>
      </c>
      <c r="K23" s="17">
        <v>677558000</v>
      </c>
      <c r="L23" s="17">
        <v>624105000</v>
      </c>
      <c r="M23" s="17">
        <v>280025080.00000006</v>
      </c>
      <c r="N23" s="17">
        <v>639381715.99999988</v>
      </c>
      <c r="O23" s="17">
        <v>685359973.33333325</v>
      </c>
      <c r="P23" s="17">
        <v>1097665623.3333333</v>
      </c>
      <c r="Q23" s="17">
        <v>2214720130</v>
      </c>
      <c r="R23" s="17">
        <v>955237099.99999976</v>
      </c>
      <c r="S23" s="17">
        <v>849565753.33333325</v>
      </c>
      <c r="T23" s="17">
        <v>1984182900.0000005</v>
      </c>
      <c r="U23" s="17">
        <v>1089763766.6666665</v>
      </c>
      <c r="V23" s="17">
        <v>3540718162.9999995</v>
      </c>
      <c r="W23" s="17">
        <v>2997827911.6666665</v>
      </c>
      <c r="X23" s="17">
        <v>4420594933.333333</v>
      </c>
      <c r="Y23" s="17">
        <v>3932085266.666667</v>
      </c>
      <c r="Z23" s="17">
        <v>3646130794.7023811</v>
      </c>
      <c r="AA23" s="17">
        <v>3982047639.52877</v>
      </c>
      <c r="AB23" s="17">
        <v>3551184426.7777781</v>
      </c>
      <c r="AC23" s="58">
        <v>3409495636.2638884</v>
      </c>
      <c r="AD23" s="58">
        <v>5676414242.2222223</v>
      </c>
      <c r="AE23" s="58">
        <v>5113339859.3253975</v>
      </c>
      <c r="AF23" s="58">
        <v>5290465656.7063494</v>
      </c>
      <c r="AG23" s="58">
        <v>5216238797.7288361</v>
      </c>
      <c r="AH23" s="58">
        <v>6504821173.795352</v>
      </c>
      <c r="AI23" s="58">
        <v>6550124638.9399099</v>
      </c>
      <c r="AJ23" s="58">
        <v>7648267672.7576208</v>
      </c>
      <c r="AK23" s="58">
        <v>8667561770.3095226</v>
      </c>
      <c r="AL23" s="58">
        <v>10200023306.666668</v>
      </c>
    </row>
    <row r="24" spans="1:60" s="15" customFormat="1" ht="18" customHeight="1" x14ac:dyDescent="0.3">
      <c r="A24" s="11" t="s">
        <v>80</v>
      </c>
      <c r="B24" s="132" t="s">
        <v>118</v>
      </c>
      <c r="C24" s="132" t="s">
        <v>118</v>
      </c>
      <c r="D24" s="132" t="s">
        <v>118</v>
      </c>
      <c r="E24" s="132" t="s">
        <v>118</v>
      </c>
      <c r="F24" s="132" t="s">
        <v>118</v>
      </c>
      <c r="G24" s="132" t="s">
        <v>118</v>
      </c>
      <c r="H24" s="132" t="s">
        <v>118</v>
      </c>
      <c r="I24" s="132" t="s">
        <v>118</v>
      </c>
      <c r="J24" s="132" t="s">
        <v>118</v>
      </c>
      <c r="K24" s="132" t="s">
        <v>118</v>
      </c>
      <c r="L24" s="132" t="s">
        <v>118</v>
      </c>
      <c r="M24" s="132" t="s">
        <v>118</v>
      </c>
      <c r="N24" s="132" t="s">
        <v>118</v>
      </c>
      <c r="O24" s="132" t="s">
        <v>118</v>
      </c>
      <c r="P24" s="132" t="s">
        <v>118</v>
      </c>
      <c r="Q24" s="132" t="s">
        <v>118</v>
      </c>
      <c r="R24" s="132" t="s">
        <v>118</v>
      </c>
      <c r="S24" s="132" t="s">
        <v>118</v>
      </c>
      <c r="T24" s="132" t="s">
        <v>118</v>
      </c>
      <c r="U24" s="132" t="s">
        <v>118</v>
      </c>
      <c r="V24" s="132" t="s">
        <v>118</v>
      </c>
      <c r="W24" s="132" t="s">
        <v>118</v>
      </c>
      <c r="X24" s="12">
        <v>2436234762.7025466</v>
      </c>
      <c r="Y24" s="12">
        <v>2758284559.4675927</v>
      </c>
      <c r="Z24" s="12">
        <v>3182991664.7222223</v>
      </c>
      <c r="AA24" s="12">
        <v>3742482424.7569442</v>
      </c>
      <c r="AB24" s="12">
        <v>3477880634.4898725</v>
      </c>
      <c r="AC24" s="57">
        <v>4277024568.885994</v>
      </c>
      <c r="AD24" s="57">
        <v>3389483478.8541665</v>
      </c>
      <c r="AE24" s="133" t="s">
        <v>118</v>
      </c>
      <c r="AF24" s="133" t="s">
        <v>118</v>
      </c>
      <c r="AG24" s="133" t="s">
        <v>118</v>
      </c>
      <c r="AH24" s="133" t="s">
        <v>118</v>
      </c>
      <c r="AI24" s="133" t="s">
        <v>118</v>
      </c>
      <c r="AJ24" s="133" t="s">
        <v>118</v>
      </c>
      <c r="AK24" s="133" t="s">
        <v>118</v>
      </c>
      <c r="AL24" s="133" t="s">
        <v>118</v>
      </c>
    </row>
    <row r="25" spans="1:60" s="10" customFormat="1" ht="18" customHeight="1" thickBot="1" x14ac:dyDescent="0.35">
      <c r="A25" s="39" t="s">
        <v>24</v>
      </c>
      <c r="B25" s="59">
        <v>20003.977528092888</v>
      </c>
      <c r="C25" s="59">
        <v>501496.50269906386</v>
      </c>
      <c r="D25" s="59">
        <v>2567282.3341132537</v>
      </c>
      <c r="E25" s="59">
        <v>30237211.392060481</v>
      </c>
      <c r="F25" s="59">
        <v>643421398.82351613</v>
      </c>
      <c r="G25" s="59">
        <v>16989638087.887781</v>
      </c>
      <c r="H25" s="59">
        <v>26506670622.808056</v>
      </c>
      <c r="I25" s="59">
        <v>27098747901.11916</v>
      </c>
      <c r="J25" s="59">
        <v>35360524315.035332</v>
      </c>
      <c r="K25" s="59">
        <v>38242981935.683151</v>
      </c>
      <c r="L25" s="59">
        <v>42556294262.837082</v>
      </c>
      <c r="M25" s="59">
        <v>44706094265.480171</v>
      </c>
      <c r="N25" s="59">
        <v>54805521727.726196</v>
      </c>
      <c r="O25" s="59">
        <v>74308056104.724716</v>
      </c>
      <c r="P25" s="59">
        <v>103566211602.64645</v>
      </c>
      <c r="Q25" s="59">
        <v>112473809108.14578</v>
      </c>
      <c r="R25" s="59">
        <v>100764207161.07132</v>
      </c>
      <c r="S25" s="59">
        <v>103128647135.80016</v>
      </c>
      <c r="T25" s="59">
        <v>122383416007.9454</v>
      </c>
      <c r="U25" s="59">
        <v>156309996372.00433</v>
      </c>
      <c r="V25" s="59">
        <v>151133513786.5531</v>
      </c>
      <c r="W25" s="59">
        <v>165484539209.41824</v>
      </c>
      <c r="X25" s="59">
        <v>208567857521.61877</v>
      </c>
      <c r="Y25" s="59">
        <v>233056209408.33224</v>
      </c>
      <c r="Z25" s="59">
        <v>268988639107.37967</v>
      </c>
      <c r="AA25" s="59">
        <v>287055688698.35046</v>
      </c>
      <c r="AB25" s="59">
        <v>307978959401.55859</v>
      </c>
      <c r="AC25" s="60">
        <v>343654585170.26624</v>
      </c>
      <c r="AD25" s="60">
        <v>348404585999.94434</v>
      </c>
      <c r="AE25" s="60">
        <v>356106468991.68298</v>
      </c>
      <c r="AF25" s="60">
        <v>372208566423.16528</v>
      </c>
      <c r="AG25" s="60">
        <v>512924874673.34137</v>
      </c>
      <c r="AH25" s="60">
        <v>738809281272.87219</v>
      </c>
      <c r="AI25" s="60">
        <v>819367014500.15723</v>
      </c>
      <c r="AJ25" s="60">
        <v>820944649867.6532</v>
      </c>
      <c r="AK25" s="60">
        <v>792276074360.74731</v>
      </c>
      <c r="AL25" s="60">
        <v>874797025860.13269</v>
      </c>
    </row>
    <row r="26" spans="1:60" s="15" customFormat="1" ht="18" customHeight="1" thickTop="1" x14ac:dyDescent="0.3">
      <c r="A26" s="11" t="s">
        <v>25</v>
      </c>
      <c r="B26" s="132" t="s">
        <v>118</v>
      </c>
      <c r="C26" s="132" t="s">
        <v>118</v>
      </c>
      <c r="D26" s="132" t="s">
        <v>118</v>
      </c>
      <c r="E26" s="132" t="s">
        <v>118</v>
      </c>
      <c r="F26" s="132" t="s">
        <v>118</v>
      </c>
      <c r="G26" s="132" t="s">
        <v>118</v>
      </c>
      <c r="H26" s="132" t="s">
        <v>118</v>
      </c>
      <c r="I26" s="132" t="s">
        <v>118</v>
      </c>
      <c r="J26" s="132" t="s">
        <v>118</v>
      </c>
      <c r="K26" s="132" t="s">
        <v>118</v>
      </c>
      <c r="L26" s="132" t="s">
        <v>118</v>
      </c>
      <c r="M26" s="12">
        <v>9528077066.9223347</v>
      </c>
      <c r="N26" s="12">
        <v>11623668190.979557</v>
      </c>
      <c r="O26" s="12">
        <v>14000669169.183111</v>
      </c>
      <c r="P26" s="12">
        <v>17351671144.046219</v>
      </c>
      <c r="Q26" s="12">
        <v>21358176099.713997</v>
      </c>
      <c r="R26" s="12">
        <v>21972723842.379448</v>
      </c>
      <c r="S26" s="12">
        <v>23206637350.546661</v>
      </c>
      <c r="T26" s="12">
        <v>26501870249.194</v>
      </c>
      <c r="U26" s="12">
        <v>32547734017.182217</v>
      </c>
      <c r="V26" s="12">
        <v>32785225313.364002</v>
      </c>
      <c r="W26" s="12">
        <v>36493406158.701332</v>
      </c>
      <c r="X26" s="12">
        <v>41866859441.221001</v>
      </c>
      <c r="Y26" s="12">
        <v>45031085620.975052</v>
      </c>
      <c r="Z26" s="12">
        <v>51765663445.425827</v>
      </c>
      <c r="AA26" s="12">
        <v>62657528240.711433</v>
      </c>
      <c r="AB26" s="12">
        <v>69286801122.607681</v>
      </c>
      <c r="AC26" s="57">
        <v>71464769584.992508</v>
      </c>
      <c r="AD26" s="57">
        <v>70805693671.43248</v>
      </c>
      <c r="AE26" s="57">
        <v>75424574100.887955</v>
      </c>
      <c r="AF26" s="57">
        <v>85646670013.813812</v>
      </c>
      <c r="AG26" s="57">
        <v>111058727376.14902</v>
      </c>
      <c r="AH26" s="57">
        <v>144163517069.3277</v>
      </c>
      <c r="AI26" s="57">
        <v>155137778061.66055</v>
      </c>
      <c r="AJ26" s="57">
        <v>142735738379.12747</v>
      </c>
      <c r="AK26" s="57">
        <v>146764370147.89291</v>
      </c>
      <c r="AL26" s="57">
        <v>180483785018.6969</v>
      </c>
    </row>
    <row r="27" spans="1:60" s="15" customFormat="1" ht="18" customHeight="1" x14ac:dyDescent="0.3">
      <c r="A27" s="16" t="s">
        <v>26</v>
      </c>
      <c r="B27" s="135" t="s">
        <v>118</v>
      </c>
      <c r="C27" s="135" t="s">
        <v>118</v>
      </c>
      <c r="D27" s="135" t="s">
        <v>118</v>
      </c>
      <c r="E27" s="135" t="s">
        <v>118</v>
      </c>
      <c r="F27" s="135" t="s">
        <v>118</v>
      </c>
      <c r="G27" s="135" t="s">
        <v>118</v>
      </c>
      <c r="H27" s="135" t="s">
        <v>118</v>
      </c>
      <c r="I27" s="135" t="s">
        <v>118</v>
      </c>
      <c r="J27" s="135" t="s">
        <v>118</v>
      </c>
      <c r="K27" s="135" t="s">
        <v>118</v>
      </c>
      <c r="L27" s="135" t="s">
        <v>118</v>
      </c>
      <c r="M27" s="17">
        <v>1725204033.1594996</v>
      </c>
      <c r="N27" s="17">
        <v>2284215775.0169444</v>
      </c>
      <c r="O27" s="17">
        <v>2657295186.1386671</v>
      </c>
      <c r="P27" s="17">
        <v>3487387766.6083336</v>
      </c>
      <c r="Q27" s="17">
        <v>4289558230.16539</v>
      </c>
      <c r="R27" s="17">
        <v>5270049800.4855566</v>
      </c>
      <c r="S27" s="17">
        <v>4715737071.9379997</v>
      </c>
      <c r="T27" s="17">
        <v>5298829008.4466658</v>
      </c>
      <c r="U27" s="17">
        <v>6979076771.2855549</v>
      </c>
      <c r="V27" s="17">
        <v>7181158444.8793316</v>
      </c>
      <c r="W27" s="17">
        <v>8340620933.5543871</v>
      </c>
      <c r="X27" s="17">
        <v>9065576926.9771671</v>
      </c>
      <c r="Y27" s="17">
        <v>9020990194.3607216</v>
      </c>
      <c r="Z27" s="17">
        <v>11080205984.706665</v>
      </c>
      <c r="AA27" s="17">
        <v>12261693232.152777</v>
      </c>
      <c r="AB27" s="17">
        <v>14008258657.918833</v>
      </c>
      <c r="AC27" s="58">
        <v>14244958363.264997</v>
      </c>
      <c r="AD27" s="58">
        <v>21439690781.512444</v>
      </c>
      <c r="AE27" s="58">
        <v>18050485498.68634</v>
      </c>
      <c r="AF27" s="58">
        <v>23696670450.911461</v>
      </c>
      <c r="AG27" s="58">
        <v>36014600708.029518</v>
      </c>
      <c r="AH27" s="58">
        <v>42590962426.971062</v>
      </c>
      <c r="AI27" s="58">
        <v>40983197713.475105</v>
      </c>
      <c r="AJ27" s="58">
        <v>45188061658.707756</v>
      </c>
      <c r="AK27" s="58">
        <v>50733127247.516571</v>
      </c>
      <c r="AL27" s="58">
        <v>62737759627.994568</v>
      </c>
    </row>
    <row r="28" spans="1:60" s="15" customFormat="1" ht="18" customHeight="1" x14ac:dyDescent="0.3">
      <c r="A28" s="11" t="s">
        <v>27</v>
      </c>
      <c r="B28" s="132" t="s">
        <v>118</v>
      </c>
      <c r="C28" s="132" t="s">
        <v>118</v>
      </c>
      <c r="D28" s="132" t="s">
        <v>118</v>
      </c>
      <c r="E28" s="132" t="s">
        <v>118</v>
      </c>
      <c r="F28" s="132" t="s">
        <v>118</v>
      </c>
      <c r="G28" s="132" t="s">
        <v>118</v>
      </c>
      <c r="H28" s="132" t="s">
        <v>118</v>
      </c>
      <c r="I28" s="132" t="s">
        <v>118</v>
      </c>
      <c r="J28" s="132" t="s">
        <v>118</v>
      </c>
      <c r="K28" s="132" t="s">
        <v>118</v>
      </c>
      <c r="L28" s="132" t="s">
        <v>118</v>
      </c>
      <c r="M28" s="12">
        <v>4759346722.4483328</v>
      </c>
      <c r="N28" s="12">
        <v>5481555809.9825001</v>
      </c>
      <c r="O28" s="12">
        <v>7065369072.8816652</v>
      </c>
      <c r="P28" s="12">
        <v>9876976107.913332</v>
      </c>
      <c r="Q28" s="12">
        <v>11481154842.577499</v>
      </c>
      <c r="R28" s="12">
        <v>14399421395.731644</v>
      </c>
      <c r="S28" s="12">
        <v>13400802792.057365</v>
      </c>
      <c r="T28" s="12">
        <v>18959367057.852406</v>
      </c>
      <c r="U28" s="12">
        <v>23760591350.419182</v>
      </c>
      <c r="V28" s="12">
        <v>23119475801.997326</v>
      </c>
      <c r="W28" s="12">
        <v>23970242135.474751</v>
      </c>
      <c r="X28" s="12">
        <v>27980282301.193974</v>
      </c>
      <c r="Y28" s="12">
        <v>29861935149.724442</v>
      </c>
      <c r="Z28" s="12">
        <v>35144574437.983437</v>
      </c>
      <c r="AA28" s="12">
        <v>35891839193.006233</v>
      </c>
      <c r="AB28" s="12">
        <v>40841853703.708511</v>
      </c>
      <c r="AC28" s="57">
        <v>45931797457.867332</v>
      </c>
      <c r="AD28" s="57">
        <v>42179963954.24366</v>
      </c>
      <c r="AE28" s="57">
        <v>44372258720.334412</v>
      </c>
      <c r="AF28" s="57">
        <v>54836559049.065247</v>
      </c>
      <c r="AG28" s="57">
        <v>61144668023.244591</v>
      </c>
      <c r="AH28" s="57">
        <v>90839904344.869324</v>
      </c>
      <c r="AI28" s="57">
        <v>97642792453.920578</v>
      </c>
      <c r="AJ28" s="57">
        <v>90925578430.754822</v>
      </c>
      <c r="AK28" s="57">
        <v>98279590474.565979</v>
      </c>
      <c r="AL28" s="57">
        <v>100727931206.67</v>
      </c>
    </row>
    <row r="29" spans="1:60" s="15" customFormat="1" ht="18" customHeight="1" x14ac:dyDescent="0.3">
      <c r="A29" s="16" t="s">
        <v>28</v>
      </c>
      <c r="B29" s="135" t="s">
        <v>118</v>
      </c>
      <c r="C29" s="135" t="s">
        <v>118</v>
      </c>
      <c r="D29" s="135" t="s">
        <v>118</v>
      </c>
      <c r="E29" s="135" t="s">
        <v>118</v>
      </c>
      <c r="F29" s="135" t="s">
        <v>118</v>
      </c>
      <c r="G29" s="135" t="s">
        <v>118</v>
      </c>
      <c r="H29" s="135" t="s">
        <v>118</v>
      </c>
      <c r="I29" s="135" t="s">
        <v>118</v>
      </c>
      <c r="J29" s="135" t="s">
        <v>118</v>
      </c>
      <c r="K29" s="135" t="s">
        <v>118</v>
      </c>
      <c r="L29" s="135" t="s">
        <v>118</v>
      </c>
      <c r="M29" s="17">
        <v>3763489494.166666</v>
      </c>
      <c r="N29" s="17">
        <v>3996764612.5</v>
      </c>
      <c r="O29" s="17">
        <v>4593577827.5</v>
      </c>
      <c r="P29" s="17">
        <v>6211734735</v>
      </c>
      <c r="Q29" s="17">
        <v>6945590791.666667</v>
      </c>
      <c r="R29" s="17">
        <v>8277836233.3333349</v>
      </c>
      <c r="S29" s="17">
        <v>8043150997.5</v>
      </c>
      <c r="T29" s="17">
        <v>10390320723.333336</v>
      </c>
      <c r="U29" s="17">
        <v>13001356077.500002</v>
      </c>
      <c r="V29" s="17">
        <v>13492472525.000002</v>
      </c>
      <c r="W29" s="17">
        <v>15731627249.999998</v>
      </c>
      <c r="X29" s="17">
        <v>17599462500.000004</v>
      </c>
      <c r="Y29" s="17">
        <v>19490195542.5</v>
      </c>
      <c r="Z29" s="17">
        <v>23925749808.333336</v>
      </c>
      <c r="AA29" s="17">
        <v>27221741799.999996</v>
      </c>
      <c r="AB29" s="17">
        <v>26268019566.666664</v>
      </c>
      <c r="AC29" s="58">
        <v>26857490595.000004</v>
      </c>
      <c r="AD29" s="58">
        <v>30212954054.297245</v>
      </c>
      <c r="AE29" s="58">
        <v>31494406570.246922</v>
      </c>
      <c r="AF29" s="58">
        <v>33089272743.856842</v>
      </c>
      <c r="AG29" s="58">
        <v>38458690886.084526</v>
      </c>
      <c r="AH29" s="58">
        <v>49010373377.666664</v>
      </c>
      <c r="AI29" s="58">
        <v>59011509581.322403</v>
      </c>
      <c r="AJ29" s="58">
        <v>63950404217.473885</v>
      </c>
      <c r="AK29" s="58">
        <v>63602994393.555565</v>
      </c>
      <c r="AL29" s="58">
        <v>69052627777.777771</v>
      </c>
    </row>
    <row r="30" spans="1:60" s="15" customFormat="1" ht="18" customHeight="1" x14ac:dyDescent="0.3">
      <c r="A30" s="11" t="s">
        <v>29</v>
      </c>
      <c r="B30" s="132" t="s">
        <v>118</v>
      </c>
      <c r="C30" s="132" t="s">
        <v>118</v>
      </c>
      <c r="D30" s="132" t="s">
        <v>118</v>
      </c>
      <c r="E30" s="132" t="s">
        <v>118</v>
      </c>
      <c r="F30" s="132" t="s">
        <v>118</v>
      </c>
      <c r="G30" s="132" t="s">
        <v>118</v>
      </c>
      <c r="H30" s="132" t="s">
        <v>118</v>
      </c>
      <c r="I30" s="132" t="s">
        <v>118</v>
      </c>
      <c r="J30" s="132" t="s">
        <v>118</v>
      </c>
      <c r="K30" s="132" t="s">
        <v>118</v>
      </c>
      <c r="L30" s="132" t="s">
        <v>118</v>
      </c>
      <c r="M30" s="12">
        <v>1471501004.9999998</v>
      </c>
      <c r="N30" s="12">
        <v>1600283066.6666665</v>
      </c>
      <c r="O30" s="12">
        <v>1871390483.3333333</v>
      </c>
      <c r="P30" s="12">
        <v>2779727110.8333335</v>
      </c>
      <c r="Q30" s="12">
        <v>3082163023.3333335</v>
      </c>
      <c r="R30" s="12">
        <v>3288231799.9999995</v>
      </c>
      <c r="S30" s="12">
        <v>3177370079.166666</v>
      </c>
      <c r="T30" s="12">
        <v>3548475996.6666675</v>
      </c>
      <c r="U30" s="12">
        <v>4260736035</v>
      </c>
      <c r="V30" s="12">
        <v>4326396895.000001</v>
      </c>
      <c r="W30" s="12">
        <v>4442610870</v>
      </c>
      <c r="X30" s="12">
        <v>5681006933.3333349</v>
      </c>
      <c r="Y30" s="12">
        <v>7057652041.666666</v>
      </c>
      <c r="Z30" s="12">
        <v>8805561600</v>
      </c>
      <c r="AA30" s="12">
        <v>10423788750.000002</v>
      </c>
      <c r="AB30" s="12">
        <v>11345657151.666666</v>
      </c>
      <c r="AC30" s="57">
        <v>13478163779.166666</v>
      </c>
      <c r="AD30" s="57">
        <v>11214053174.982409</v>
      </c>
      <c r="AE30" s="57">
        <v>10794020785.836996</v>
      </c>
      <c r="AF30" s="57">
        <v>11591209740.214287</v>
      </c>
      <c r="AG30" s="57">
        <v>14390145831.489315</v>
      </c>
      <c r="AH30" s="57">
        <v>17165928383.333332</v>
      </c>
      <c r="AI30" s="57">
        <v>21004528389.907738</v>
      </c>
      <c r="AJ30" s="57">
        <v>24942800872.611107</v>
      </c>
      <c r="AK30" s="57">
        <v>24563513653.922817</v>
      </c>
      <c r="AL30" s="57">
        <v>22045251705.880951</v>
      </c>
    </row>
    <row r="31" spans="1:60" s="10" customFormat="1" ht="18" customHeight="1" thickBot="1" x14ac:dyDescent="0.35">
      <c r="A31" s="39" t="s">
        <v>30</v>
      </c>
      <c r="B31" s="136" t="s">
        <v>118</v>
      </c>
      <c r="C31" s="136" t="s">
        <v>118</v>
      </c>
      <c r="D31" s="136" t="s">
        <v>118</v>
      </c>
      <c r="E31" s="136" t="s">
        <v>118</v>
      </c>
      <c r="F31" s="136" t="s">
        <v>118</v>
      </c>
      <c r="G31" s="136" t="s">
        <v>118</v>
      </c>
      <c r="H31" s="136" t="s">
        <v>118</v>
      </c>
      <c r="I31" s="136" t="s">
        <v>118</v>
      </c>
      <c r="J31" s="136" t="s">
        <v>118</v>
      </c>
      <c r="K31" s="136" t="s">
        <v>118</v>
      </c>
      <c r="L31" s="136" t="s">
        <v>118</v>
      </c>
      <c r="M31" s="59">
        <v>21247618321.696831</v>
      </c>
      <c r="N31" s="59">
        <v>24986487455.145672</v>
      </c>
      <c r="O31" s="59">
        <v>30188301739.036774</v>
      </c>
      <c r="P31" s="59">
        <v>39707496864.401222</v>
      </c>
      <c r="Q31" s="59">
        <v>47156642987.456886</v>
      </c>
      <c r="R31" s="59">
        <v>53208263071.929985</v>
      </c>
      <c r="S31" s="59">
        <v>52543698291.208687</v>
      </c>
      <c r="T31" s="59">
        <v>64698863035.493073</v>
      </c>
      <c r="U31" s="59">
        <v>80549494251.386963</v>
      </c>
      <c r="V31" s="59">
        <v>80904728980.240662</v>
      </c>
      <c r="W31" s="59">
        <v>88978507347.730469</v>
      </c>
      <c r="X31" s="59">
        <v>102193188102.72546</v>
      </c>
      <c r="Y31" s="59">
        <v>110461858549.22688</v>
      </c>
      <c r="Z31" s="59">
        <v>130721755276.44928</v>
      </c>
      <c r="AA31" s="59">
        <v>148456591215.87045</v>
      </c>
      <c r="AB31" s="59">
        <v>161750590202.56836</v>
      </c>
      <c r="AC31" s="60">
        <v>171977179780.2915</v>
      </c>
      <c r="AD31" s="60">
        <v>175852355636.46823</v>
      </c>
      <c r="AE31" s="60">
        <v>180135745675.99261</v>
      </c>
      <c r="AF31" s="60">
        <v>208860381997.86166</v>
      </c>
      <c r="AG31" s="60">
        <v>261066832824.99698</v>
      </c>
      <c r="AH31" s="60">
        <v>343770685602.16809</v>
      </c>
      <c r="AI31" s="60">
        <v>373779806200.28632</v>
      </c>
      <c r="AJ31" s="60">
        <v>367742583558.67505</v>
      </c>
      <c r="AK31" s="60">
        <v>383943595917.4538</v>
      </c>
      <c r="AL31" s="60">
        <v>435047355337.02014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</row>
    <row r="32" spans="1:60" s="10" customFormat="1" ht="18" customHeight="1" thickTop="1" thickBot="1" x14ac:dyDescent="0.35">
      <c r="A32" s="42" t="s">
        <v>31</v>
      </c>
      <c r="B32" s="61">
        <v>20003.977528092888</v>
      </c>
      <c r="C32" s="61">
        <v>501496.50269906386</v>
      </c>
      <c r="D32" s="61">
        <v>2567282.3341132537</v>
      </c>
      <c r="E32" s="61">
        <v>30237211.392060481</v>
      </c>
      <c r="F32" s="61">
        <v>643421398.82351613</v>
      </c>
      <c r="G32" s="61">
        <v>16989638087.887781</v>
      </c>
      <c r="H32" s="61">
        <v>26506670622.808056</v>
      </c>
      <c r="I32" s="61">
        <v>27098747901.11916</v>
      </c>
      <c r="J32" s="61">
        <v>35360524315.035332</v>
      </c>
      <c r="K32" s="61">
        <v>38242981935.683151</v>
      </c>
      <c r="L32" s="61">
        <v>42556294262.837082</v>
      </c>
      <c r="M32" s="61">
        <v>65953712587.177002</v>
      </c>
      <c r="N32" s="61">
        <v>79792009182.871872</v>
      </c>
      <c r="O32" s="61">
        <v>104496357843.76149</v>
      </c>
      <c r="P32" s="61">
        <v>143273708467.04767</v>
      </c>
      <c r="Q32" s="61">
        <v>159630452095.60266</v>
      </c>
      <c r="R32" s="61">
        <v>153972470233.00131</v>
      </c>
      <c r="S32" s="61">
        <v>155672345427.00885</v>
      </c>
      <c r="T32" s="61">
        <v>187082279043.43848</v>
      </c>
      <c r="U32" s="61">
        <v>236859490623.3913</v>
      </c>
      <c r="V32" s="61">
        <v>232038242766.79376</v>
      </c>
      <c r="W32" s="61">
        <v>254463046557.14871</v>
      </c>
      <c r="X32" s="61">
        <v>310761045624.34424</v>
      </c>
      <c r="Y32" s="61">
        <v>343518067957.55914</v>
      </c>
      <c r="Z32" s="61">
        <v>399710394383.82898</v>
      </c>
      <c r="AA32" s="61">
        <v>435512279914.22095</v>
      </c>
      <c r="AB32" s="61">
        <v>469729549604.12695</v>
      </c>
      <c r="AC32" s="62">
        <v>515631764950.55774</v>
      </c>
      <c r="AD32" s="62">
        <v>524256941636.4126</v>
      </c>
      <c r="AE32" s="62">
        <v>536242214667.6756</v>
      </c>
      <c r="AF32" s="62">
        <v>581068948421.02698</v>
      </c>
      <c r="AG32" s="62">
        <v>773991707498.33838</v>
      </c>
      <c r="AH32" s="62">
        <v>1082579966875.0403</v>
      </c>
      <c r="AI32" s="62">
        <v>1193146820700.4436</v>
      </c>
      <c r="AJ32" s="62">
        <v>1188687233426.3281</v>
      </c>
      <c r="AK32" s="62">
        <v>1176219670278.2012</v>
      </c>
      <c r="AL32" s="62">
        <v>1309844381197.1528</v>
      </c>
      <c r="AM32" s="15"/>
    </row>
    <row r="33" spans="1:38" s="2" customFormat="1" ht="15" customHeight="1" thickTop="1" x14ac:dyDescent="0.25">
      <c r="A33" s="126" t="s">
        <v>129</v>
      </c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26"/>
      <c r="S33" s="126"/>
      <c r="T33" s="126"/>
      <c r="U33" s="126"/>
      <c r="V33" s="126"/>
      <c r="W33" s="126"/>
      <c r="X33" s="126"/>
      <c r="Y33" s="126"/>
      <c r="Z33" s="126"/>
      <c r="AA33" s="126"/>
      <c r="AB33" s="126"/>
      <c r="AC33" s="126"/>
      <c r="AD33" s="126"/>
      <c r="AE33" s="126"/>
      <c r="AF33" s="126"/>
      <c r="AG33" s="126"/>
      <c r="AH33" s="126"/>
      <c r="AI33" s="126"/>
      <c r="AJ33" s="126"/>
      <c r="AK33" s="126"/>
      <c r="AL33" s="126"/>
    </row>
    <row r="34" spans="1:38" s="2" customFormat="1" ht="14.25" customHeight="1" x14ac:dyDescent="0.25">
      <c r="A34" s="30" t="s">
        <v>130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</row>
    <row r="35" spans="1:38" s="2" customFormat="1" ht="14.25" customHeight="1" x14ac:dyDescent="0.25">
      <c r="A35" s="30" t="s">
        <v>124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</row>
    <row r="36" spans="1:38" s="2" customFormat="1" ht="14.25" customHeight="1" x14ac:dyDescent="0.25">
      <c r="A36" s="152" t="s">
        <v>32</v>
      </c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  <c r="Y36" s="152"/>
      <c r="Z36" s="152"/>
      <c r="AA36" s="152"/>
      <c r="AB36" s="152"/>
      <c r="AC36" s="152"/>
      <c r="AD36" s="152"/>
      <c r="AE36" s="152"/>
      <c r="AF36" s="152"/>
      <c r="AG36" s="152"/>
      <c r="AH36" s="152"/>
      <c r="AI36" s="152"/>
      <c r="AJ36" s="152"/>
    </row>
    <row r="37" spans="1:38" s="2" customFormat="1" ht="14.25" customHeight="1" x14ac:dyDescent="0.25">
      <c r="A37" s="142" t="s">
        <v>33</v>
      </c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</row>
    <row r="38" spans="1:38" s="2" customFormat="1" ht="14.25" x14ac:dyDescent="0.25">
      <c r="A38" s="143" t="s">
        <v>34</v>
      </c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</row>
    <row r="39" spans="1:38" s="2" customFormat="1" ht="14.25" x14ac:dyDescent="0.25">
      <c r="A39" s="30" t="s">
        <v>97</v>
      </c>
      <c r="B39" s="30"/>
      <c r="C39" s="30"/>
      <c r="D39" s="30"/>
      <c r="E39" s="30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</row>
    <row r="40" spans="1:38" s="30" customFormat="1" ht="14.25" x14ac:dyDescent="0.25">
      <c r="A40" s="30" t="s">
        <v>132</v>
      </c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 spans="1:38" s="2" customFormat="1" ht="14.25" x14ac:dyDescent="0.25">
      <c r="A41" s="30" t="s">
        <v>122</v>
      </c>
      <c r="B41" s="131"/>
      <c r="C41" s="30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</row>
    <row r="42" spans="1:38" s="2" customFormat="1" ht="14.25" x14ac:dyDescent="0.25">
      <c r="A42" s="131" t="s">
        <v>35</v>
      </c>
      <c r="B42" s="131"/>
      <c r="C42" s="30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</row>
    <row r="43" spans="1:38" s="2" customFormat="1" ht="14.25" x14ac:dyDescent="0.25">
      <c r="A43" s="131" t="s">
        <v>36</v>
      </c>
      <c r="B43" s="131"/>
      <c r="C43" s="30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</row>
    <row r="44" spans="1:38" s="2" customFormat="1" ht="14.25" x14ac:dyDescent="0.25">
      <c r="A44" s="131" t="s">
        <v>126</v>
      </c>
      <c r="B44" s="131"/>
      <c r="C44" s="30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</row>
    <row r="45" spans="1:38" ht="17.25" customHeight="1" x14ac:dyDescent="0.3">
      <c r="A45" s="30" t="s">
        <v>37</v>
      </c>
      <c r="B45" s="30"/>
    </row>
  </sheetData>
  <mergeCells count="3">
    <mergeCell ref="A36:AJ36"/>
    <mergeCell ref="A37:AJ37"/>
    <mergeCell ref="A38:U38"/>
  </mergeCells>
  <printOptions horizontalCentered="1"/>
  <pageMargins left="0.39370078740157483" right="0.39370078740157483" top="0.78740157480314965" bottom="0.78740157480314965" header="0.31496062992125984" footer="0.31496062992125984"/>
  <pageSetup paperSize="9" scale="23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showGridLines="0" zoomScale="90" zoomScaleNormal="90" workbookViewId="0">
      <pane xSplit="1" ySplit="3" topLeftCell="B4" activePane="bottomRight" state="frozen"/>
      <selection activeCell="C8" sqref="C8"/>
      <selection pane="topRight" activeCell="C8" sqref="C8"/>
      <selection pane="bottomLeft" activeCell="C8" sqref="C8"/>
      <selection pane="bottomRight" activeCell="A3" sqref="A3"/>
    </sheetView>
  </sheetViews>
  <sheetFormatPr defaultColWidth="8.85546875" defaultRowHeight="18.600000000000001" customHeight="1" x14ac:dyDescent="0.3"/>
  <cols>
    <col min="1" max="1" width="11.140625" style="45" customWidth="1"/>
    <col min="2" max="2" width="21.140625" style="3" customWidth="1"/>
    <col min="3" max="3" width="20.5703125" style="3" bestFit="1" customWidth="1"/>
    <col min="4" max="4" width="9" style="3" bestFit="1" customWidth="1"/>
    <col min="5" max="5" width="8.85546875" style="3"/>
    <col min="6" max="6" width="11.140625" style="3" bestFit="1" customWidth="1"/>
    <col min="7" max="7" width="19.28515625" style="3" customWidth="1"/>
    <col min="8" max="8" width="18.28515625" style="3" bestFit="1" customWidth="1"/>
    <col min="9" max="16384" width="8.85546875" style="3"/>
  </cols>
  <sheetData>
    <row r="1" spans="1:8" ht="17.45" customHeight="1" x14ac:dyDescent="0.3">
      <c r="A1" s="150" t="s">
        <v>98</v>
      </c>
      <c r="B1" s="150"/>
      <c r="C1" s="150"/>
      <c r="D1" s="150"/>
    </row>
    <row r="2" spans="1:8" ht="18.600000000000001" customHeight="1" x14ac:dyDescent="0.3">
      <c r="B2" s="151" t="s">
        <v>2</v>
      </c>
      <c r="C2" s="151"/>
    </row>
    <row r="3" spans="1:8" ht="18.600000000000001" customHeight="1" thickBot="1" x14ac:dyDescent="0.35">
      <c r="A3" s="46" t="s">
        <v>99</v>
      </c>
      <c r="B3" s="46" t="s">
        <v>3</v>
      </c>
      <c r="C3" s="47">
        <v>2024</v>
      </c>
      <c r="D3" s="47" t="s">
        <v>100</v>
      </c>
      <c r="F3" s="46" t="s">
        <v>99</v>
      </c>
      <c r="G3" s="46" t="s">
        <v>3</v>
      </c>
      <c r="H3" s="47">
        <v>2024</v>
      </c>
    </row>
    <row r="4" spans="1:8" ht="18.600000000000001" customHeight="1" thickTop="1" x14ac:dyDescent="0.3">
      <c r="A4" s="48" t="s">
        <v>101</v>
      </c>
      <c r="B4" s="11" t="s">
        <v>20</v>
      </c>
      <c r="C4" s="12">
        <v>291283238424.02362</v>
      </c>
      <c r="D4" s="49">
        <v>0.23921379256900024</v>
      </c>
      <c r="F4" s="48" t="s">
        <v>101</v>
      </c>
      <c r="G4" s="11" t="s">
        <v>20</v>
      </c>
      <c r="H4" s="12">
        <v>291283238424.02362</v>
      </c>
    </row>
    <row r="5" spans="1:8" ht="18.600000000000001" customHeight="1" x14ac:dyDescent="0.3">
      <c r="A5" s="50" t="s">
        <v>102</v>
      </c>
      <c r="B5" s="16" t="s">
        <v>19</v>
      </c>
      <c r="C5" s="17">
        <v>122603356949.83783</v>
      </c>
      <c r="D5" s="51">
        <v>0.10068692643058288</v>
      </c>
      <c r="F5" s="50" t="s">
        <v>102</v>
      </c>
      <c r="G5" s="16" t="s">
        <v>19</v>
      </c>
      <c r="H5" s="17">
        <v>122603356949.83783</v>
      </c>
    </row>
    <row r="6" spans="1:8" ht="18.600000000000001" customHeight="1" x14ac:dyDescent="0.3">
      <c r="A6" s="48" t="s">
        <v>103</v>
      </c>
      <c r="B6" s="11" t="s">
        <v>14</v>
      </c>
      <c r="C6" s="12">
        <v>118867970570.34465</v>
      </c>
      <c r="D6" s="49">
        <v>9.7619273285198691E-2</v>
      </c>
      <c r="F6" s="48" t="s">
        <v>103</v>
      </c>
      <c r="G6" s="11" t="s">
        <v>14</v>
      </c>
      <c r="H6" s="12">
        <v>118867970570.34465</v>
      </c>
    </row>
    <row r="7" spans="1:8" ht="18.600000000000001" customHeight="1" x14ac:dyDescent="0.3">
      <c r="A7" s="50" t="s">
        <v>104</v>
      </c>
      <c r="B7" s="16" t="s">
        <v>13</v>
      </c>
      <c r="C7" s="17">
        <v>72258593096.908096</v>
      </c>
      <c r="D7" s="51">
        <v>5.9341732788789132E-2</v>
      </c>
      <c r="F7" s="50" t="s">
        <v>104</v>
      </c>
      <c r="G7" s="16" t="s">
        <v>13</v>
      </c>
      <c r="H7" s="17">
        <v>72258593096.908096</v>
      </c>
    </row>
    <row r="8" spans="1:8" ht="18.600000000000001" customHeight="1" x14ac:dyDescent="0.3">
      <c r="A8" s="48" t="s">
        <v>105</v>
      </c>
      <c r="B8" s="11" t="s">
        <v>7</v>
      </c>
      <c r="C8" s="12">
        <v>33973854169.116123</v>
      </c>
      <c r="D8" s="49">
        <v>2.7900728335592866E-2</v>
      </c>
      <c r="F8" s="48" t="s">
        <v>105</v>
      </c>
      <c r="G8" s="11" t="s">
        <v>7</v>
      </c>
      <c r="H8" s="12">
        <v>33973854169.116123</v>
      </c>
    </row>
    <row r="9" spans="1:8" ht="18.600000000000001" customHeight="1" thickBot="1" x14ac:dyDescent="0.35">
      <c r="A9" s="50" t="s">
        <v>106</v>
      </c>
      <c r="B9" s="16" t="s">
        <v>16</v>
      </c>
      <c r="C9" s="17">
        <v>28819287147.019802</v>
      </c>
      <c r="D9" s="51">
        <v>2.3667585594259407E-2</v>
      </c>
      <c r="F9" s="46" t="s">
        <v>99</v>
      </c>
      <c r="G9" s="46" t="s">
        <v>81</v>
      </c>
      <c r="H9" s="47">
        <v>2024</v>
      </c>
    </row>
    <row r="10" spans="1:8" ht="18.600000000000001" customHeight="1" thickTop="1" x14ac:dyDescent="0.3">
      <c r="A10" s="48" t="s">
        <v>107</v>
      </c>
      <c r="B10" s="11" t="s">
        <v>9</v>
      </c>
      <c r="C10" s="12">
        <v>24989211827.377388</v>
      </c>
      <c r="D10" s="49">
        <v>2.0522169991241231E-2</v>
      </c>
      <c r="F10" s="48" t="s">
        <v>101</v>
      </c>
      <c r="G10" s="11" t="s">
        <v>25</v>
      </c>
      <c r="H10" s="12">
        <v>151936275092.56961</v>
      </c>
    </row>
    <row r="11" spans="1:8" ht="18.600000000000001" customHeight="1" x14ac:dyDescent="0.3">
      <c r="A11" s="50" t="s">
        <v>108</v>
      </c>
      <c r="B11" s="16" t="s">
        <v>10</v>
      </c>
      <c r="C11" s="17">
        <v>22142001519.023205</v>
      </c>
      <c r="D11" s="51">
        <v>1.8183923617066122E-2</v>
      </c>
      <c r="F11" s="50" t="s">
        <v>102</v>
      </c>
      <c r="G11" s="16" t="s">
        <v>27</v>
      </c>
      <c r="H11" s="17">
        <v>101742915390.71565</v>
      </c>
    </row>
    <row r="12" spans="1:8" ht="18.600000000000001" customHeight="1" x14ac:dyDescent="0.3">
      <c r="A12" s="48" t="s">
        <v>109</v>
      </c>
      <c r="B12" s="11" t="s">
        <v>21</v>
      </c>
      <c r="C12" s="12">
        <v>19445070823.894852</v>
      </c>
      <c r="D12" s="49">
        <v>1.5969093050886191E-2</v>
      </c>
      <c r="F12" s="48" t="s">
        <v>103</v>
      </c>
      <c r="G12" s="11" t="s">
        <v>28</v>
      </c>
      <c r="H12" s="12">
        <v>65844332947.789116</v>
      </c>
    </row>
    <row r="13" spans="1:8" ht="18.600000000000001" customHeight="1" x14ac:dyDescent="0.3">
      <c r="A13" s="50" t="s">
        <v>110</v>
      </c>
      <c r="B13" s="16" t="s">
        <v>18</v>
      </c>
      <c r="C13" s="17">
        <v>19169170748.507679</v>
      </c>
      <c r="D13" s="51">
        <v>1.5742512545394272E-2</v>
      </c>
      <c r="F13" s="50" t="s">
        <v>104</v>
      </c>
      <c r="G13" s="16" t="s">
        <v>26</v>
      </c>
      <c r="H13" s="17">
        <v>52520937949.841255</v>
      </c>
    </row>
    <row r="14" spans="1:8" ht="18.600000000000001" customHeight="1" x14ac:dyDescent="0.3">
      <c r="A14" s="48" t="s">
        <v>111</v>
      </c>
      <c r="B14" s="11" t="s">
        <v>11</v>
      </c>
      <c r="C14" s="12">
        <v>16806657621.428703</v>
      </c>
      <c r="D14" s="49">
        <v>1.3802319459859009E-2</v>
      </c>
      <c r="F14" s="48" t="s">
        <v>105</v>
      </c>
      <c r="G14" s="11" t="s">
        <v>29</v>
      </c>
      <c r="H14" s="12">
        <v>25429119915.15189</v>
      </c>
    </row>
    <row r="15" spans="1:8" ht="18.600000000000001" customHeight="1" x14ac:dyDescent="0.3">
      <c r="A15" s="50" t="s">
        <v>112</v>
      </c>
      <c r="B15" s="16" t="s">
        <v>15</v>
      </c>
      <c r="C15" s="17">
        <v>14857787147.738195</v>
      </c>
      <c r="D15" s="51">
        <v>1.2201826758117608E-2</v>
      </c>
    </row>
    <row r="16" spans="1:8" ht="18.600000000000001" customHeight="1" x14ac:dyDescent="0.3">
      <c r="A16" s="48" t="s">
        <v>113</v>
      </c>
      <c r="B16" s="11" t="s">
        <v>22</v>
      </c>
      <c r="C16" s="12">
        <v>11390841330.304375</v>
      </c>
      <c r="D16" s="49">
        <v>9.3546280586431895E-3</v>
      </c>
    </row>
    <row r="17" spans="1:4" ht="18.600000000000001" customHeight="1" x14ac:dyDescent="0.3">
      <c r="A17" s="50" t="s">
        <v>114</v>
      </c>
      <c r="B17" s="16" t="s">
        <v>12</v>
      </c>
      <c r="C17" s="17">
        <v>10129533696.620708</v>
      </c>
      <c r="D17" s="51">
        <v>8.3187902799843252E-3</v>
      </c>
    </row>
    <row r="18" spans="1:4" ht="18.600000000000001" customHeight="1" x14ac:dyDescent="0.3">
      <c r="A18" s="48" t="s">
        <v>115</v>
      </c>
      <c r="B18" s="11" t="s">
        <v>23</v>
      </c>
      <c r="C18" s="12">
        <v>8973002426.8733902</v>
      </c>
      <c r="D18" s="49">
        <v>7.368999166847346E-3</v>
      </c>
    </row>
    <row r="19" spans="1:4" ht="18.600000000000001" customHeight="1" x14ac:dyDescent="0.3">
      <c r="A19" s="50" t="s">
        <v>116</v>
      </c>
      <c r="B19" s="16" t="s">
        <v>8</v>
      </c>
      <c r="C19" s="17">
        <v>4365783886.9367123</v>
      </c>
      <c r="D19" s="51">
        <v>3.585361542879046E-3</v>
      </c>
    </row>
    <row r="20" spans="1:4" ht="18.600000000000001" customHeight="1" x14ac:dyDescent="0.3">
      <c r="A20" s="48" t="s">
        <v>117</v>
      </c>
      <c r="B20" s="11" t="s">
        <v>17</v>
      </c>
      <c r="C20" s="12">
        <v>120136077.32229541</v>
      </c>
      <c r="D20" s="130">
        <v>9.8660694779815935E-5</v>
      </c>
    </row>
    <row r="21" spans="1:4" ht="18.600000000000001" customHeight="1" thickBot="1" x14ac:dyDescent="0.35">
      <c r="A21" s="52"/>
      <c r="B21" s="20" t="s">
        <v>24</v>
      </c>
      <c r="C21" s="21">
        <v>820195497463.27771</v>
      </c>
      <c r="D21" s="53">
        <v>0.67357832416912145</v>
      </c>
    </row>
    <row r="22" spans="1:4" ht="18.600000000000001" customHeight="1" thickTop="1" x14ac:dyDescent="0.3">
      <c r="A22" s="48" t="s">
        <v>101</v>
      </c>
      <c r="B22" s="11" t="s">
        <v>25</v>
      </c>
      <c r="C22" s="12">
        <v>151936275092.56961</v>
      </c>
      <c r="D22" s="49">
        <v>0.12477632695360381</v>
      </c>
    </row>
    <row r="23" spans="1:4" ht="18.600000000000001" customHeight="1" x14ac:dyDescent="0.3">
      <c r="A23" s="50" t="s">
        <v>102</v>
      </c>
      <c r="B23" s="16" t="s">
        <v>27</v>
      </c>
      <c r="C23" s="17">
        <v>101742915390.71565</v>
      </c>
      <c r="D23" s="51">
        <v>8.3555472636604317E-2</v>
      </c>
    </row>
    <row r="24" spans="1:4" ht="18.600000000000001" customHeight="1" x14ac:dyDescent="0.3">
      <c r="A24" s="48" t="s">
        <v>103</v>
      </c>
      <c r="B24" s="11" t="s">
        <v>28</v>
      </c>
      <c r="C24" s="12">
        <v>65844332947.789116</v>
      </c>
      <c r="D24" s="49">
        <v>5.4074078168164029E-2</v>
      </c>
    </row>
    <row r="25" spans="1:4" ht="18.600000000000001" customHeight="1" x14ac:dyDescent="0.3">
      <c r="A25" s="50" t="s">
        <v>104</v>
      </c>
      <c r="B25" s="16" t="s">
        <v>26</v>
      </c>
      <c r="C25" s="17">
        <v>52520937949.841255</v>
      </c>
      <c r="D25" s="51">
        <v>4.3132357440950723E-2</v>
      </c>
    </row>
    <row r="26" spans="1:4" ht="18.600000000000001" customHeight="1" x14ac:dyDescent="0.3">
      <c r="A26" s="48" t="s">
        <v>105</v>
      </c>
      <c r="B26" s="11" t="s">
        <v>29</v>
      </c>
      <c r="C26" s="12">
        <v>25429119915.15189</v>
      </c>
      <c r="D26" s="49">
        <v>2.0883440631555686E-2</v>
      </c>
    </row>
    <row r="27" spans="1:4" ht="18.600000000000001" customHeight="1" thickBot="1" x14ac:dyDescent="0.35">
      <c r="A27" s="52"/>
      <c r="B27" s="20" t="s">
        <v>30</v>
      </c>
      <c r="C27" s="21">
        <v>397473581296.06757</v>
      </c>
      <c r="D27" s="53">
        <v>0.32642167583087861</v>
      </c>
    </row>
    <row r="28" spans="1:4" ht="18.600000000000001" customHeight="1" thickTop="1" thickBot="1" x14ac:dyDescent="0.35">
      <c r="A28" s="54"/>
      <c r="B28" s="24" t="s">
        <v>31</v>
      </c>
      <c r="C28" s="25">
        <v>1217669078759.3452</v>
      </c>
      <c r="D28" s="55">
        <v>1</v>
      </c>
    </row>
    <row r="29" spans="1:4" ht="18" thickTop="1" x14ac:dyDescent="0.3">
      <c r="A29" s="148" t="s">
        <v>37</v>
      </c>
      <c r="B29" s="148"/>
      <c r="C29" s="148"/>
      <c r="D29" s="148"/>
    </row>
    <row r="30" spans="1:4" ht="17.25" x14ac:dyDescent="0.3">
      <c r="A30" s="142" t="s">
        <v>132</v>
      </c>
      <c r="B30" s="142"/>
      <c r="C30" s="142"/>
      <c r="D30" s="142"/>
    </row>
    <row r="33" ht="17.25" x14ac:dyDescent="0.3"/>
  </sheetData>
  <sortState xmlns:xlrd2="http://schemas.microsoft.com/office/spreadsheetml/2017/richdata2" ref="B23:D26">
    <sortCondition descending="1" ref="D22:D26"/>
  </sortState>
  <mergeCells count="4">
    <mergeCell ref="A1:D1"/>
    <mergeCell ref="B2:C2"/>
    <mergeCell ref="A29:D29"/>
    <mergeCell ref="A30:D30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horizontalDpi="3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Capa</vt:lpstr>
      <vt:lpstr>VBP</vt:lpstr>
      <vt:lpstr>VBP completo</vt:lpstr>
      <vt:lpstr>Laspeyres</vt:lpstr>
      <vt:lpstr>Variação</vt:lpstr>
      <vt:lpstr>VBP Completo Nominal</vt:lpstr>
      <vt:lpstr>Ranking 2024</vt:lpstr>
    </vt:vector>
  </TitlesOfParts>
  <Manager/>
  <Company>MAPA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Eliana Bastos</dc:creator>
  <cp:keywords/>
  <dc:description/>
  <cp:lastModifiedBy>Eliana Teles Bastos</cp:lastModifiedBy>
  <cp:revision/>
  <dcterms:created xsi:type="dcterms:W3CDTF">2001-05-31T12:19:52Z</dcterms:created>
  <dcterms:modified xsi:type="dcterms:W3CDTF">2024-11-19T11:58:20Z</dcterms:modified>
  <cp:category/>
  <cp:contentStatus/>
</cp:coreProperties>
</file>