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gromapa-my.sharepoint.com/personal/eliana_bastos_agricultura_gov_br/Documents/MAPA 2022/MAPA/VBP/2024/VBP SITE/ENVIADOS/"/>
    </mc:Choice>
  </mc:AlternateContent>
  <xr:revisionPtr revIDLastSave="1" documentId="8_{854F5123-DD9D-4695-B23B-0DA6CF599731}" xr6:coauthVersionLast="47" xr6:coauthVersionMax="47" xr10:uidLastSave="{3EDEAA3C-FCB6-4255-A785-178ABE14ED9A}"/>
  <bookViews>
    <workbookView xWindow="-120" yWindow="-120" windowWidth="29040" windowHeight="15720" tabRatio="833" xr2:uid="{00000000-000D-0000-FFFF-FFFF00000000}"/>
  </bookViews>
  <sheets>
    <sheet name="Capa" sheetId="30" r:id="rId1"/>
    <sheet name="VBP" sheetId="25" r:id="rId2"/>
    <sheet name="VBP completo" sheetId="26" r:id="rId3"/>
    <sheet name="Laspeyres" sheetId="23" r:id="rId4"/>
    <sheet name="Variação" sheetId="16" r:id="rId5"/>
    <sheet name="VBP Completo Nominal" sheetId="28" r:id="rId6"/>
    <sheet name="Ranking 2024" sheetId="29" r:id="rId7"/>
  </sheets>
  <calcPr calcId="191028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<sst xmlns="http://schemas.openxmlformats.org/spreadsheetml/2006/main" count="637" uniqueCount="136">
  <si>
    <t xml:space="preserve"> </t>
  </si>
  <si>
    <t>VALOR BRUTO DA PRODUÇÃO - LAVOURAS E PECUÁRIA - BRASIL</t>
  </si>
  <si>
    <t>Valores em R$*</t>
  </si>
  <si>
    <t>LAVOURAS</t>
  </si>
  <si>
    <t>2024**</t>
  </si>
  <si>
    <t>variação % 2024/2023</t>
  </si>
  <si>
    <t>Gráficos</t>
  </si>
  <si>
    <t>Algodão</t>
  </si>
  <si>
    <t>Amendoim</t>
  </si>
  <si>
    <t>Arroz</t>
  </si>
  <si>
    <t>Banana</t>
  </si>
  <si>
    <t>Batata - inglesa</t>
  </si>
  <si>
    <t>Cacau</t>
  </si>
  <si>
    <t>Café</t>
  </si>
  <si>
    <t>Cana-de-açúcar</t>
  </si>
  <si>
    <t>Feijão</t>
  </si>
  <si>
    <t>Laranja</t>
  </si>
  <si>
    <t>Mamona</t>
  </si>
  <si>
    <t>Mandioca</t>
  </si>
  <si>
    <t>Milho</t>
  </si>
  <si>
    <t>Soja</t>
  </si>
  <si>
    <t>Tomate</t>
  </si>
  <si>
    <t>Trigo</t>
  </si>
  <si>
    <t>Uva</t>
  </si>
  <si>
    <t>TOTAL LAVOURAS</t>
  </si>
  <si>
    <t>Bovinos</t>
  </si>
  <si>
    <t>Suínos</t>
  </si>
  <si>
    <t>Frango</t>
  </si>
  <si>
    <t>Leite</t>
  </si>
  <si>
    <t>Ovos</t>
  </si>
  <si>
    <t>TOTAL PECUÁRIA</t>
  </si>
  <si>
    <t>VBP TOTAL</t>
  </si>
  <si>
    <t xml:space="preserve">OBS: Devido a descontinuidade da informação pela FGV-FGVDados, comunicado da FGV em 24/04/2017, foram usados preços da FGV até dez/2016. A partir desta data os produtos, que antes eram informados pela FGV, passaram a ser substituídos pelos preços da Conab.  Informamos que em janeiro/2021 reformulamos o cálculo do algodão, passando a utilizar apenas o algodão em pluma, que agora tem como fonte, para produção e preço, a CONAB. O cálculo é retroativo a 2017. </t>
  </si>
  <si>
    <t>Nota: a partir de dezembro de 2015 preços de laranja retroativo a 2012 e frango retroativo a 2005, foram alterados para Conab e Cepea respectivamente. Para cacau, a partir de abril/2017, retroativo a jan/2016 foi alterado para Conab.</t>
  </si>
  <si>
    <t>Devido a descontinuidade da informação de produção pelo LSPA/IBGE, fonte desta informação, as séries de cebola, maçã e pimenta do reino finalizam-se em 2017.</t>
  </si>
  <si>
    <t>OBS: 1) informamos que em março/2023, a série histórica de frangos, foi revisada devido à identificação de registros de peso vivo de frangos em vez de peso de carcaça, conforme nota IBGE.</t>
  </si>
  <si>
    <t xml:space="preserve">         2) informamos que a série de suíno, a partir de janeiro/2024, passou por alteração em sua metodologia, adotando-se os preços de suíno vivo convertido para carcaça, para formação do valor bruto.</t>
  </si>
  <si>
    <t>Elaboração: CGPOP/DAEP/SPA/MAPA.</t>
  </si>
  <si>
    <t>Valores em bilhões R$*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</si>
  <si>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</si>
  <si>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</si>
  <si>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</si>
  <si>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</si>
  <si>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</si>
  <si>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</si>
  <si>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</si>
  <si>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</si>
  <si>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</si>
  <si>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</si>
  <si>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</si>
  <si>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</si>
  <si>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</si>
  <si>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</si>
  <si>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</si>
  <si>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</si>
  <si>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</si>
  <si>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</si>
  <si>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</si>
  <si>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</si>
  <si>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</si>
  <si>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</si>
  <si>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</si>
  <si>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</si>
  <si>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</si>
  <si>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</si>
  <si>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</si>
  <si>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</si>
  <si>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</si>
  <si>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</si>
  <si>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</si>
  <si>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</si>
  <si>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</si>
  <si>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</si>
  <si>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% 2023/2022</t>
  </si>
  <si>
    <t>% 2024/2023</t>
  </si>
  <si>
    <t xml:space="preserve">   Café arábica</t>
  </si>
  <si>
    <t xml:space="preserve">   Café conilon</t>
  </si>
  <si>
    <t>Cebola</t>
  </si>
  <si>
    <t>Fumo</t>
  </si>
  <si>
    <t>Pimenta-do-reino</t>
  </si>
  <si>
    <t>Maçã</t>
  </si>
  <si>
    <t>PECUÁRIA</t>
  </si>
  <si>
    <t>Evolução do Produto de Lavouras</t>
  </si>
  <si>
    <t>(Índice de Laspeyres)</t>
  </si>
  <si>
    <t>Ano</t>
  </si>
  <si>
    <t>Indice de Prod. base 1990</t>
  </si>
  <si>
    <t>variação anual</t>
  </si>
  <si>
    <t>Fonte dos dados brutos: FGV e IBGE; Elaboração: CGPOP/DAEP/SPA/MAPA.</t>
  </si>
  <si>
    <t>Nota: Os preços utilizados são do Censo Agropecuário 1995/96</t>
  </si>
  <si>
    <t>VALOR BRUTO DA PRODUÇÃO - PRINCIPAIS PRODUTOS AGROPECUÁRIOS - BRASIL</t>
  </si>
  <si>
    <t>Últimos 6 meses - Valores em R$*</t>
  </si>
  <si>
    <t>Variação Percentual (%)</t>
  </si>
  <si>
    <t>Algodão Pluma</t>
  </si>
  <si>
    <t>**Informamos que em janeiro/2021 reformulamos o cálculo do algodão, passando a utilizar apenas o algodão em pluma, que agora tem como fonte, para produção e preço, a CONAB.</t>
  </si>
  <si>
    <t>VALOR BRUTO NOMINAL DA PRODUÇÃO - LAVOURAS E PECUÁRIA - BRASIL</t>
  </si>
  <si>
    <t>* Valores nominais</t>
  </si>
  <si>
    <t>Posição do Produto no Valor Bruto da Produção</t>
  </si>
  <si>
    <t>POSIÇÃO</t>
  </si>
  <si>
    <t>%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</si>
  <si>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</si>
  <si>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</si>
  <si>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</si>
  <si>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</si>
  <si>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</si>
  <si>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</si>
  <si>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</si>
  <si>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</si>
  <si>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</si>
  <si>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</si>
  <si>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</si>
  <si>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</si>
  <si>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</si>
  <si>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</si>
  <si>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</si>
  <si>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</si>
  <si>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</si>
  <si>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-</t>
  </si>
  <si>
    <t>jul/ago</t>
  </si>
  <si>
    <t>ago/set</t>
  </si>
  <si>
    <t>2025***</t>
  </si>
  <si>
    <t>% 2025/2024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</si>
  <si>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</si>
  <si>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</si>
  <si>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 xml:space="preserve">         3) em outubro de 2024 a série de suínos foi ajustada, alterando os dados a partir de 2017, para se adequar a nova metodologia implantada em janeiro/2024. </t>
  </si>
  <si>
    <t>variação % 2025/2024</t>
  </si>
  <si>
    <t>set/out</t>
  </si>
  <si>
    <t>out/nov</t>
  </si>
  <si>
    <t>nov/dez</t>
  </si>
  <si>
    <t>Fonte Produção: Lavouras: IBGE - Levantamento Sistemático da Produção Agrícola - LSPA e Algodão Pluma, CONAB - Previsão de Safra; dezembro/2024; Pecuária: IBGE - Pesquisa Trimestral do Abate de Animais; Pesquisa Trimestral do Leite, Produção de Ovos de Galinha. Considerou-se para o ano em curso a produção dos últimos 4 trimestres.</t>
  </si>
  <si>
    <t>Fonte Preços: Cepea/Esalq/USP, CONAB e FGV/FGVDados; Preços Recebidos pelos Produtores média anual para os anos fechados, para 2024 preços médios de janeiro a dezembro e para 2025 preços médios de dezembro.</t>
  </si>
  <si>
    <t xml:space="preserve">* Valores deflacionados pelo IGP-DI da FGV - dezembro/2024. </t>
  </si>
  <si>
    <t>** Valor Preliminar com base em janeiro a dezembro/2024</t>
  </si>
  <si>
    <t>Fonte Preços: Cepea/Esalq/USP, CONAB e FGV/FGVDados; Preços Recebidos pelos Produtores média anual para os anos fechados e para 2024, preços médios de janeiro a dezembro.</t>
  </si>
  <si>
    <t>* As informações de produção referem-se ao LSPA de dezembro/2024</t>
  </si>
  <si>
    <t>Fonte: IBGE - Levantamento Sistemático da Produção Agrícola - LSPA e Algodão Pluma, CONAB - Previsão de Safra;  julho/2024 a dezembro/2024; Pecuária: IBGE - Pesquisa Trimestral do Abate de Animais; Pesquisa Trimestral do Leite, Produção de Ovos de Galinha. Considerou-se para o ano em curso a produção dos últimos 4 trimestres.</t>
  </si>
  <si>
    <t>***3º Prognóstico da safra de 2025 (algodão, amendoim, arroz, café, feijão, mamona, milho, soja e trigo, os demais produtos repetiu-se a safra de 2024). Pecuária considerou-se a produção dos últimos 4 Trimestres.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</si>
</sst>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0"/>
      <name val="Segoe UI"/>
      <family val="2"/>
    </font>
    <font>
      <sz val="12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u/>
      <sz val="1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/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53">
    <xf numFmtId="0" fontId="0" fillId="0" borderId="0" xfId="0"/>
    <xf numFmtId="0" fontId="5" fillId="0" borderId="0" xfId="0" applyFont="1" applyAlignment="1">
      <alignment horizontal="centerContinuous" vertical="center" wrapText="1"/>
    </xf>
    <xf numFmtId="0" fontId="6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4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0" fillId="5" borderId="10" xfId="0" applyFont="1" applyFill="1" applyBorder="1"/>
    <xf numFmtId="3" fontId="10" fillId="5" borderId="11" xfId="0" applyNumberFormat="1" applyFont="1" applyFill="1" applyBorder="1"/>
    <xf numFmtId="164" fontId="10" fillId="5" borderId="7" xfId="0" applyNumberFormat="1" applyFont="1" applyFill="1" applyBorder="1" applyAlignment="1">
      <alignment horizontal="center"/>
    </xf>
    <xf numFmtId="3" fontId="10" fillId="5" borderId="6" xfId="0" applyNumberFormat="1" applyFont="1" applyFill="1" applyBorder="1"/>
    <xf numFmtId="0" fontId="8" fillId="0" borderId="0" xfId="0" applyFont="1" applyAlignment="1">
      <alignment horizontal="left"/>
    </xf>
    <xf numFmtId="0" fontId="10" fillId="0" borderId="10" xfId="0" applyFont="1" applyBorder="1"/>
    <xf numFmtId="3" fontId="10" fillId="0" borderId="11" xfId="0" applyNumberFormat="1" applyFont="1" applyBorder="1"/>
    <xf numFmtId="164" fontId="10" fillId="0" borderId="7" xfId="0" applyNumberFormat="1" applyFont="1" applyBorder="1" applyAlignment="1">
      <alignment horizontal="center"/>
    </xf>
    <xf numFmtId="3" fontId="10" fillId="0" borderId="6" xfId="0" applyNumberFormat="1" applyFont="1" applyBorder="1"/>
    <xf numFmtId="0" fontId="11" fillId="2" borderId="8" xfId="0" applyFont="1" applyFill="1" applyBorder="1"/>
    <xf numFmtId="3" fontId="11" fillId="2" borderId="3" xfId="0" applyNumberFormat="1" applyFont="1" applyFill="1" applyBorder="1"/>
    <xf numFmtId="164" fontId="10" fillId="2" borderId="2" xfId="0" applyNumberFormat="1" applyFont="1" applyFill="1" applyBorder="1" applyAlignment="1">
      <alignment horizontal="center"/>
    </xf>
    <xf numFmtId="3" fontId="11" fillId="2" borderId="9" xfId="0" applyNumberFormat="1" applyFont="1" applyFill="1" applyBorder="1"/>
    <xf numFmtId="0" fontId="11" fillId="3" borderId="8" xfId="0" applyFont="1" applyFill="1" applyBorder="1"/>
    <xf numFmtId="3" fontId="11" fillId="3" borderId="3" xfId="0" applyNumberFormat="1" applyFont="1" applyFill="1" applyBorder="1"/>
    <xf numFmtId="164" fontId="10" fillId="3" borderId="2" xfId="0" applyNumberFormat="1" applyFont="1" applyFill="1" applyBorder="1" applyAlignment="1">
      <alignment horizontal="center"/>
    </xf>
    <xf numFmtId="3" fontId="11" fillId="3" borderId="9" xfId="0" applyNumberFormat="1" applyFont="1" applyFill="1" applyBorder="1"/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vertical="center" wrapText="1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" fontId="10" fillId="5" borderId="11" xfId="0" applyNumberFormat="1" applyFont="1" applyFill="1" applyBorder="1"/>
    <xf numFmtId="4" fontId="10" fillId="5" borderId="13" xfId="0" applyNumberFormat="1" applyFont="1" applyFill="1" applyBorder="1"/>
    <xf numFmtId="4" fontId="10" fillId="0" borderId="11" xfId="0" applyNumberFormat="1" applyFont="1" applyBorder="1"/>
    <xf numFmtId="4" fontId="10" fillId="0" borderId="13" xfId="0" applyNumberFormat="1" applyFont="1" applyBorder="1"/>
    <xf numFmtId="0" fontId="11" fillId="0" borderId="8" xfId="0" applyFont="1" applyBorder="1"/>
    <xf numFmtId="4" fontId="11" fillId="0" borderId="3" xfId="0" applyNumberFormat="1" applyFont="1" applyBorder="1"/>
    <xf numFmtId="4" fontId="11" fillId="0" borderId="12" xfId="0" applyNumberFormat="1" applyFont="1" applyBorder="1"/>
    <xf numFmtId="0" fontId="11" fillId="5" borderId="8" xfId="0" applyFont="1" applyFill="1" applyBorder="1"/>
    <xf numFmtId="4" fontId="11" fillId="5" borderId="3" xfId="0" applyNumberFormat="1" applyFont="1" applyFill="1" applyBorder="1"/>
    <xf numFmtId="4" fontId="11" fillId="5" borderId="12" xfId="0" applyNumberFormat="1" applyFont="1" applyFill="1" applyBorder="1"/>
    <xf numFmtId="0" fontId="8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165" fontId="10" fillId="5" borderId="11" xfId="1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165" fontId="10" fillId="0" borderId="11" xfId="1" applyNumberFormat="1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165" fontId="11" fillId="2" borderId="3" xfId="1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165" fontId="11" fillId="3" borderId="3" xfId="1" applyNumberFormat="1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3" fontId="10" fillId="5" borderId="13" xfId="0" applyNumberFormat="1" applyFont="1" applyFill="1" applyBorder="1"/>
    <xf numFmtId="3" fontId="10" fillId="0" borderId="13" xfId="0" applyNumberFormat="1" applyFont="1" applyBorder="1"/>
    <xf numFmtId="3" fontId="11" fillId="0" borderId="3" xfId="0" applyNumberFormat="1" applyFont="1" applyBorder="1"/>
    <xf numFmtId="3" fontId="11" fillId="0" borderId="12" xfId="0" applyNumberFormat="1" applyFont="1" applyBorder="1"/>
    <xf numFmtId="3" fontId="11" fillId="5" borderId="3" xfId="0" applyNumberFormat="1" applyFont="1" applyFill="1" applyBorder="1"/>
    <xf numFmtId="3" fontId="11" fillId="5" borderId="12" xfId="0" applyNumberFormat="1" applyFont="1" applyFill="1" applyBorder="1"/>
    <xf numFmtId="0" fontId="9" fillId="8" borderId="3" xfId="0" applyFont="1" applyFill="1" applyBorder="1" applyAlignment="1">
      <alignment horizontal="center" vertical="center"/>
    </xf>
    <xf numFmtId="17" fontId="9" fillId="8" borderId="36" xfId="0" applyNumberFormat="1" applyFont="1" applyFill="1" applyBorder="1" applyAlignment="1">
      <alignment horizontal="center" vertical="center"/>
    </xf>
    <xf numFmtId="17" fontId="9" fillId="8" borderId="23" xfId="0" applyNumberFormat="1" applyFont="1" applyFill="1" applyBorder="1" applyAlignment="1">
      <alignment horizontal="center" vertical="center"/>
    </xf>
    <xf numFmtId="17" fontId="9" fillId="8" borderId="24" xfId="0" applyNumberFormat="1" applyFont="1" applyFill="1" applyBorder="1" applyAlignment="1">
      <alignment horizontal="center" vertical="center"/>
    </xf>
    <xf numFmtId="17" fontId="9" fillId="8" borderId="27" xfId="0" applyNumberFormat="1" applyFont="1" applyFill="1" applyBorder="1" applyAlignment="1">
      <alignment horizontal="center" vertical="center"/>
    </xf>
    <xf numFmtId="0" fontId="10" fillId="9" borderId="40" xfId="0" applyFont="1" applyFill="1" applyBorder="1"/>
    <xf numFmtId="3" fontId="10" fillId="9" borderId="38" xfId="0" applyNumberFormat="1" applyFont="1" applyFill="1" applyBorder="1" applyAlignment="1">
      <alignment horizontal="right"/>
    </xf>
    <xf numFmtId="3" fontId="10" fillId="9" borderId="28" xfId="0" applyNumberFormat="1" applyFont="1" applyFill="1" applyBorder="1" applyAlignment="1">
      <alignment horizontal="right"/>
    </xf>
    <xf numFmtId="3" fontId="10" fillId="9" borderId="35" xfId="0" applyNumberFormat="1" applyFont="1" applyFill="1" applyBorder="1" applyAlignment="1">
      <alignment horizontal="right"/>
    </xf>
    <xf numFmtId="4" fontId="10" fillId="9" borderId="37" xfId="0" applyNumberFormat="1" applyFont="1" applyFill="1" applyBorder="1" applyAlignment="1">
      <alignment horizontal="center"/>
    </xf>
    <xf numFmtId="4" fontId="10" fillId="9" borderId="29" xfId="0" applyNumberFormat="1" applyFont="1" applyFill="1" applyBorder="1" applyAlignment="1">
      <alignment horizontal="center"/>
    </xf>
    <xf numFmtId="4" fontId="10" fillId="9" borderId="30" xfId="0" applyNumberFormat="1" applyFont="1" applyFill="1" applyBorder="1" applyAlignment="1">
      <alignment horizontal="center"/>
    </xf>
    <xf numFmtId="4" fontId="10" fillId="9" borderId="31" xfId="0" applyNumberFormat="1" applyFont="1" applyFill="1" applyBorder="1" applyAlignment="1">
      <alignment horizontal="center"/>
    </xf>
    <xf numFmtId="0" fontId="10" fillId="10" borderId="40" xfId="0" applyFont="1" applyFill="1" applyBorder="1"/>
    <xf numFmtId="3" fontId="10" fillId="10" borderId="38" xfId="0" applyNumberFormat="1" applyFont="1" applyFill="1" applyBorder="1" applyAlignment="1">
      <alignment horizontal="right"/>
    </xf>
    <xf numFmtId="3" fontId="10" fillId="10" borderId="28" xfId="0" applyNumberFormat="1" applyFont="1" applyFill="1" applyBorder="1" applyAlignment="1">
      <alignment horizontal="right"/>
    </xf>
    <xf numFmtId="3" fontId="10" fillId="10" borderId="35" xfId="0" applyNumberFormat="1" applyFont="1" applyFill="1" applyBorder="1" applyAlignment="1">
      <alignment horizontal="right"/>
    </xf>
    <xf numFmtId="4" fontId="10" fillId="10" borderId="38" xfId="0" applyNumberFormat="1" applyFont="1" applyFill="1" applyBorder="1" applyAlignment="1">
      <alignment horizontal="center"/>
    </xf>
    <xf numFmtId="4" fontId="10" fillId="10" borderId="28" xfId="0" applyNumberFormat="1" applyFont="1" applyFill="1" applyBorder="1" applyAlignment="1">
      <alignment horizontal="center"/>
    </xf>
    <xf numFmtId="4" fontId="10" fillId="10" borderId="32" xfId="0" applyNumberFormat="1" applyFont="1" applyFill="1" applyBorder="1" applyAlignment="1">
      <alignment horizontal="center"/>
    </xf>
    <xf numFmtId="4" fontId="10" fillId="10" borderId="19" xfId="0" applyNumberFormat="1" applyFont="1" applyFill="1" applyBorder="1" applyAlignment="1">
      <alignment horizontal="center"/>
    </xf>
    <xf numFmtId="4" fontId="10" fillId="9" borderId="38" xfId="0" applyNumberFormat="1" applyFont="1" applyFill="1" applyBorder="1" applyAlignment="1">
      <alignment horizontal="center"/>
    </xf>
    <xf numFmtId="4" fontId="10" fillId="9" borderId="28" xfId="0" applyNumberFormat="1" applyFont="1" applyFill="1" applyBorder="1" applyAlignment="1">
      <alignment horizontal="center"/>
    </xf>
    <xf numFmtId="4" fontId="10" fillId="9" borderId="32" xfId="0" applyNumberFormat="1" applyFont="1" applyFill="1" applyBorder="1" applyAlignment="1">
      <alignment horizontal="center"/>
    </xf>
    <xf numFmtId="4" fontId="10" fillId="9" borderId="19" xfId="0" applyNumberFormat="1" applyFont="1" applyFill="1" applyBorder="1" applyAlignment="1">
      <alignment horizontal="center"/>
    </xf>
    <xf numFmtId="0" fontId="11" fillId="10" borderId="3" xfId="0" applyFont="1" applyFill="1" applyBorder="1"/>
    <xf numFmtId="3" fontId="11" fillId="10" borderId="36" xfId="0" applyNumberFormat="1" applyFont="1" applyFill="1" applyBorder="1"/>
    <xf numFmtId="3" fontId="11" fillId="10" borderId="23" xfId="0" applyNumberFormat="1" applyFont="1" applyFill="1" applyBorder="1"/>
    <xf numFmtId="3" fontId="11" fillId="10" borderId="24" xfId="0" applyNumberFormat="1" applyFont="1" applyFill="1" applyBorder="1"/>
    <xf numFmtId="4" fontId="11" fillId="10" borderId="36" xfId="0" applyNumberFormat="1" applyFont="1" applyFill="1" applyBorder="1" applyAlignment="1">
      <alignment horizontal="center"/>
    </xf>
    <xf numFmtId="4" fontId="11" fillId="10" borderId="23" xfId="0" applyNumberFormat="1" applyFont="1" applyFill="1" applyBorder="1" applyAlignment="1">
      <alignment horizontal="center"/>
    </xf>
    <xf numFmtId="4" fontId="11" fillId="10" borderId="27" xfId="0" applyNumberFormat="1" applyFont="1" applyFill="1" applyBorder="1" applyAlignment="1">
      <alignment horizontal="center"/>
    </xf>
    <xf numFmtId="4" fontId="11" fillId="10" borderId="16" xfId="0" applyNumberFormat="1" applyFont="1" applyFill="1" applyBorder="1" applyAlignment="1">
      <alignment horizontal="center"/>
    </xf>
    <xf numFmtId="3" fontId="10" fillId="9" borderId="38" xfId="0" applyNumberFormat="1" applyFont="1" applyFill="1" applyBorder="1"/>
    <xf numFmtId="3" fontId="10" fillId="9" borderId="28" xfId="0" applyNumberFormat="1" applyFont="1" applyFill="1" applyBorder="1"/>
    <xf numFmtId="3" fontId="10" fillId="9" borderId="35" xfId="0" applyNumberFormat="1" applyFont="1" applyFill="1" applyBorder="1"/>
    <xf numFmtId="3" fontId="10" fillId="10" borderId="38" xfId="0" applyNumberFormat="1" applyFont="1" applyFill="1" applyBorder="1"/>
    <xf numFmtId="3" fontId="10" fillId="10" borderId="28" xfId="0" applyNumberFormat="1" applyFont="1" applyFill="1" applyBorder="1"/>
    <xf numFmtId="3" fontId="10" fillId="10" borderId="35" xfId="0" applyNumberFormat="1" applyFont="1" applyFill="1" applyBorder="1"/>
    <xf numFmtId="0" fontId="11" fillId="9" borderId="4" xfId="0" applyFont="1" applyFill="1" applyBorder="1"/>
    <xf numFmtId="3" fontId="11" fillId="9" borderId="39" xfId="0" applyNumberFormat="1" applyFont="1" applyFill="1" applyBorder="1"/>
    <xf numFmtId="3" fontId="11" fillId="9" borderId="25" xfId="0" applyNumberFormat="1" applyFont="1" applyFill="1" applyBorder="1"/>
    <xf numFmtId="3" fontId="11" fillId="9" borderId="26" xfId="0" applyNumberFormat="1" applyFont="1" applyFill="1" applyBorder="1"/>
    <xf numFmtId="2" fontId="11" fillId="9" borderId="39" xfId="0" applyNumberFormat="1" applyFont="1" applyFill="1" applyBorder="1" applyAlignment="1">
      <alignment horizontal="center"/>
    </xf>
    <xf numFmtId="2" fontId="11" fillId="9" borderId="25" xfId="0" applyNumberFormat="1" applyFont="1" applyFill="1" applyBorder="1" applyAlignment="1">
      <alignment horizontal="center"/>
    </xf>
    <xf numFmtId="2" fontId="11" fillId="9" borderId="33" xfId="0" applyNumberFormat="1" applyFont="1" applyFill="1" applyBorder="1" applyAlignment="1">
      <alignment horizontal="center"/>
    </xf>
    <xf numFmtId="2" fontId="11" fillId="9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 wrapText="1"/>
    </xf>
    <xf numFmtId="0" fontId="11" fillId="7" borderId="14" xfId="0" applyFont="1" applyFill="1" applyBorder="1" applyAlignment="1">
      <alignment horizontal="center" vertical="center" wrapText="1"/>
    </xf>
    <xf numFmtId="4" fontId="11" fillId="7" borderId="15" xfId="0" applyNumberFormat="1" applyFont="1" applyFill="1" applyBorder="1" applyAlignment="1">
      <alignment horizontal="center" vertical="center" wrapText="1"/>
    </xf>
    <xf numFmtId="4" fontId="11" fillId="7" borderId="16" xfId="0" applyNumberFormat="1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/>
    </xf>
    <xf numFmtId="4" fontId="10" fillId="6" borderId="21" xfId="0" applyNumberFormat="1" applyFont="1" applyFill="1" applyBorder="1" applyAlignment="1">
      <alignment horizontal="center"/>
    </xf>
    <xf numFmtId="4" fontId="10" fillId="6" borderId="22" xfId="0" applyNumberFormat="1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4" fontId="10" fillId="7" borderId="18" xfId="0" applyNumberFormat="1" applyFont="1" applyFill="1" applyBorder="1" applyAlignment="1">
      <alignment horizontal="center"/>
    </xf>
    <xf numFmtId="4" fontId="10" fillId="7" borderId="19" xfId="0" applyNumberFormat="1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4" fontId="10" fillId="6" borderId="19" xfId="0" applyNumberFormat="1" applyFont="1" applyFill="1" applyBorder="1" applyAlignment="1">
      <alignment horizontal="center"/>
    </xf>
    <xf numFmtId="165" fontId="8" fillId="0" borderId="0" xfId="1" applyNumberFormat="1" applyFont="1"/>
    <xf numFmtId="165" fontId="8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Continuous" wrapText="1"/>
    </xf>
    <xf numFmtId="0" fontId="5" fillId="0" borderId="0" xfId="0" applyFont="1" applyAlignment="1">
      <alignment horizontal="left" wrapText="1"/>
    </xf>
    <xf numFmtId="0" fontId="6" fillId="0" borderId="5" xfId="0" applyFont="1" applyBorder="1" applyAlignment="1">
      <alignment vertical="center"/>
    </xf>
    <xf numFmtId="0" fontId="6" fillId="11" borderId="0" xfId="0" applyFont="1" applyFill="1"/>
    <xf numFmtId="0" fontId="6" fillId="0" borderId="0" xfId="0" applyFont="1" applyAlignment="1">
      <alignment horizontal="left" vertical="center" wrapText="1"/>
    </xf>
    <xf numFmtId="49" fontId="5" fillId="0" borderId="0" xfId="1" applyNumberFormat="1" applyFont="1" applyBorder="1" applyAlignment="1">
      <alignment horizontal="center" vertical="center" wrapText="1"/>
    </xf>
    <xf numFmtId="10" fontId="10" fillId="5" borderId="11" xfId="1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3" fontId="10" fillId="5" borderId="11" xfId="0" applyNumberFormat="1" applyFont="1" applyFill="1" applyBorder="1" applyAlignment="1">
      <alignment horizontal="center"/>
    </xf>
    <xf numFmtId="3" fontId="10" fillId="5" borderId="13" xfId="0" applyNumberFormat="1" applyFont="1" applyFill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4" fontId="10" fillId="5" borderId="11" xfId="0" applyNumberFormat="1" applyFont="1" applyFill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4" fontId="10" fillId="5" borderId="13" xfId="0" applyNumberFormat="1" applyFont="1" applyFill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left" wrapText="1"/>
    </xf>
  </cellXfs>
  <cellStyles count="5">
    <cellStyle name="Normal" xfId="0" builtinId="0"/>
    <cellStyle name="Normal 2" xfId="3" xr:uid="{00000000-0005-0000-0000-000001000000}"/>
    <cellStyle name="Normal 3" xfId="4" xr:uid="{00000000-0005-0000-0000-000002000000}"/>
    <cellStyle name="Porcentagem" xfId="1" builtinId="5"/>
    <cellStyle name="Porcentagem 2" xfId="2" xr:uid="{00000000-0005-0000-0000-000004000000}"/>
  </cellStyles>
  <dxfs count="0"/>
  <tableStyles count="0" defaultTableStyle="TableStyleMedium2" defaultPivotStyle="PivotStyleLight16"/>
  <colors>
    <mruColors>
      <color rgb="FFFF6600"/>
      <color rgb="FF008000"/>
      <color rgb="FF0000FF"/>
      <color rgb="FFEA813A"/>
      <color rgb="FFB3423F"/>
      <color rgb="FF364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7700473493150935E-2"/>
          <c:y val="0.11457839059926869"/>
          <c:w val="0.93662968313651551"/>
          <c:h val="0.700105240587977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completo'!$A$27</c:f>
              <c:strCache>
                <c:ptCount val="1"/>
                <c:pt idx="0">
                  <c:v>TOTAL LAVOURAS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completo'!$M$27:$AL$27</c:f>
              <c:numCache>
                <c:formatCode>#,##0.00</c:formatCode>
                <c:ptCount val="26"/>
                <c:pt idx="0">
                  <c:v>284.98852816294504</c:v>
                </c:pt>
                <c:pt idx="1">
                  <c:v>316.5695494946126</c:v>
                </c:pt>
                <c:pt idx="2">
                  <c:v>378.15325534315514</c:v>
                </c:pt>
                <c:pt idx="3">
                  <c:v>429.20105639720191</c:v>
                </c:pt>
                <c:pt idx="4">
                  <c:v>426.05859992970647</c:v>
                </c:pt>
                <c:pt idx="5">
                  <c:v>360.21332470141402</c:v>
                </c:pt>
                <c:pt idx="6">
                  <c:v>362.41389018863089</c:v>
                </c:pt>
                <c:pt idx="7">
                  <c:v>409.28043769460044</c:v>
                </c:pt>
                <c:pt idx="8">
                  <c:v>469.95500128333276</c:v>
                </c:pt>
                <c:pt idx="9">
                  <c:v>446.39500758665781</c:v>
                </c:pt>
                <c:pt idx="10">
                  <c:v>462.96095771177454</c:v>
                </c:pt>
                <c:pt idx="11">
                  <c:v>537.67192230281262</c:v>
                </c:pt>
                <c:pt idx="12">
                  <c:v>566.90997266892646</c:v>
                </c:pt>
                <c:pt idx="13">
                  <c:v>616.80166991070757</c:v>
                </c:pt>
                <c:pt idx="14">
                  <c:v>624.73732837674049</c:v>
                </c:pt>
                <c:pt idx="15">
                  <c:v>627.00410822458446</c:v>
                </c:pt>
                <c:pt idx="16">
                  <c:v>634.93272604385163</c:v>
                </c:pt>
                <c:pt idx="17">
                  <c:v>637.56888258662332</c:v>
                </c:pt>
                <c:pt idx="18">
                  <c:v>615.85576567509895</c:v>
                </c:pt>
                <c:pt idx="19">
                  <c:v>606.99935293997646</c:v>
                </c:pt>
                <c:pt idx="20">
                  <c:v>739.9464460240406</c:v>
                </c:pt>
                <c:pt idx="21">
                  <c:v>837.26727303014684</c:v>
                </c:pt>
                <c:pt idx="22">
                  <c:v>841.98492076250227</c:v>
                </c:pt>
                <c:pt idx="23">
                  <c:v>875.36713056899134</c:v>
                </c:pt>
                <c:pt idx="24">
                  <c:v>847.10586849453784</c:v>
                </c:pt>
                <c:pt idx="25">
                  <c:v>941.83616949820521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9-4859-937A-6DDCE1CE3021}"/>
            </c:ext>
          </c:extLst>
        </c:ser>
        <c:ser>
          <c:idx val="1"/>
          <c:order val="1"/>
          <c:tx>
            <c:strRef>
              <c:f>'VBP completo'!$A$33</c:f>
              <c:strCache>
                <c:ptCount val="1"/>
                <c:pt idx="0">
                  <c:v>TOTAL PECUÁRIA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completo'!$M$33:$AL$33</c:f>
              <c:numCache>
                <c:formatCode>#,##0.00</c:formatCode>
                <c:ptCount val="26"/>
                <c:pt idx="0">
                  <c:v>135.44747247455317</c:v>
                </c:pt>
                <c:pt idx="1">
                  <c:v>144.32781274166013</c:v>
                </c:pt>
                <c:pt idx="2">
                  <c:v>153.62808791296504</c:v>
                </c:pt>
                <c:pt idx="3">
                  <c:v>164.55656084512117</c:v>
                </c:pt>
                <c:pt idx="4">
                  <c:v>178.63263854878898</c:v>
                </c:pt>
                <c:pt idx="5">
                  <c:v>190.20965760282368</c:v>
                </c:pt>
                <c:pt idx="6">
                  <c:v>184.64865613469499</c:v>
                </c:pt>
                <c:pt idx="7">
                  <c:v>216.3690134273624</c:v>
                </c:pt>
                <c:pt idx="8">
                  <c:v>242.17669088924796</c:v>
                </c:pt>
                <c:pt idx="9">
                  <c:v>238.96398755035321</c:v>
                </c:pt>
                <c:pt idx="10">
                  <c:v>248.92703073209509</c:v>
                </c:pt>
                <c:pt idx="11">
                  <c:v>263.44619226742526</c:v>
                </c:pt>
                <c:pt idx="12">
                  <c:v>268.6988232155731</c:v>
                </c:pt>
                <c:pt idx="13">
                  <c:v>299.75019471356075</c:v>
                </c:pt>
                <c:pt idx="14">
                  <c:v>323.09540562208593</c:v>
                </c:pt>
                <c:pt idx="15">
                  <c:v>329.3026405499582</c:v>
                </c:pt>
                <c:pt idx="16">
                  <c:v>317.74329308346955</c:v>
                </c:pt>
                <c:pt idx="17">
                  <c:v>321.8040014071068</c:v>
                </c:pt>
                <c:pt idx="18">
                  <c:v>311.52940830550972</c:v>
                </c:pt>
                <c:pt idx="19">
                  <c:v>340.61042158649252</c:v>
                </c:pt>
                <c:pt idx="20">
                  <c:v>376.61553311609913</c:v>
                </c:pt>
                <c:pt idx="21">
                  <c:v>389.58355258604922</c:v>
                </c:pt>
                <c:pt idx="22">
                  <c:v>384.09766922111214</c:v>
                </c:pt>
                <c:pt idx="23">
                  <c:v>392.12430154127469</c:v>
                </c:pt>
                <c:pt idx="24">
                  <c:v>425.24543460895467</c:v>
                </c:pt>
                <c:pt idx="25">
                  <c:v>477.1417678234925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9-4859-937A-6DDCE1CE3021}"/>
            </c:ext>
          </c:extLst>
        </c:ser>
        <c:ser>
          <c:idx val="2"/>
          <c:order val="2"/>
          <c:tx>
            <c:strRef>
              <c:f>'VBP completo'!$A$34</c:f>
              <c:strCache>
                <c:ptCount val="1"/>
                <c:pt idx="0">
                  <c:v>VBP TOTAL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completo'!$M$34:$AL$34</c:f>
              <c:numCache>
                <c:formatCode>#,##0.00</c:formatCode>
                <c:ptCount val="26"/>
                <c:pt idx="0">
                  <c:v>420.43600063749818</c:v>
                </c:pt>
                <c:pt idx="1">
                  <c:v>460.89736223627273</c:v>
                </c:pt>
                <c:pt idx="2">
                  <c:v>531.78134325612018</c:v>
                </c:pt>
                <c:pt idx="3">
                  <c:v>593.75761724232302</c:v>
                </c:pt>
                <c:pt idx="4">
                  <c:v>604.69123847849551</c:v>
                </c:pt>
                <c:pt idx="5">
                  <c:v>550.42298230423773</c:v>
                </c:pt>
                <c:pt idx="6">
                  <c:v>547.06254632332593</c:v>
                </c:pt>
                <c:pt idx="7">
                  <c:v>625.64945112196278</c:v>
                </c:pt>
                <c:pt idx="8">
                  <c:v>712.13169217258076</c:v>
                </c:pt>
                <c:pt idx="9">
                  <c:v>685.35899513701099</c:v>
                </c:pt>
                <c:pt idx="10">
                  <c:v>711.88798844386963</c:v>
                </c:pt>
                <c:pt idx="11">
                  <c:v>801.11811457023782</c:v>
                </c:pt>
                <c:pt idx="12">
                  <c:v>835.60879588449961</c:v>
                </c:pt>
                <c:pt idx="13">
                  <c:v>916.55186462426832</c:v>
                </c:pt>
                <c:pt idx="14">
                  <c:v>947.83273399882637</c:v>
                </c:pt>
                <c:pt idx="15">
                  <c:v>956.30674877454271</c:v>
                </c:pt>
                <c:pt idx="16">
                  <c:v>952.67601912732118</c:v>
                </c:pt>
                <c:pt idx="17">
                  <c:v>959.37288399373006</c:v>
                </c:pt>
                <c:pt idx="18">
                  <c:v>927.38517398060867</c:v>
                </c:pt>
                <c:pt idx="19">
                  <c:v>947.60977452646898</c:v>
                </c:pt>
                <c:pt idx="20">
                  <c:v>1116.5619791401398</c:v>
                </c:pt>
                <c:pt idx="21">
                  <c:v>1226.8508256161961</c:v>
                </c:pt>
                <c:pt idx="22">
                  <c:v>1226.0825899836145</c:v>
                </c:pt>
                <c:pt idx="23">
                  <c:v>1267.491432110266</c:v>
                </c:pt>
                <c:pt idx="24">
                  <c:v>1272.3513031034925</c:v>
                </c:pt>
                <c:pt idx="25">
                  <c:v>1418.9779373216977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9-4859-937A-6DDCE1CE30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2368"/>
        <c:axId val="928912760"/>
      </c:lineChart>
      <c:catAx>
        <c:axId val="92891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4.9784893140982951E-2"/>
              <c:y val="0.9261438050924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8912760"/>
        <c:crosses val="autoZero"/>
        <c:auto val="1"/>
        <c:lblAlgn val="ctr"/>
        <c:lblOffset val="100"/>
        <c:noMultiLvlLbl val="0"/>
      </c:catAx>
      <c:valAx>
        <c:axId val="92891276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Bilhões R$*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7.2137781504667972E-2"/>
          <c:y val="0.14782306132754119"/>
          <c:w val="0.55316944641614618"/>
          <c:h val="7.1595255532890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Pecuária -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8895140637784648E-2"/>
          <c:y val="0.14510777465067151"/>
          <c:w val="0.91829519364923928"/>
          <c:h val="0.653111818272240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completo'!$A$28</c:f>
              <c:strCache>
                <c:ptCount val="1"/>
                <c:pt idx="0">
                  <c:v>Bovinos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completo'!$M$28:$AL$28</c:f>
              <c:numCache>
                <c:formatCode>#,##0.00</c:formatCode>
                <c:ptCount val="26"/>
                <c:pt idx="0">
                  <c:v>60.738758420728296</c:v>
                </c:pt>
                <c:pt idx="1">
                  <c:v>67.141034090944359</c:v>
                </c:pt>
                <c:pt idx="2">
                  <c:v>71.249322090293603</c:v>
                </c:pt>
                <c:pt idx="3">
                  <c:v>71.909124318023999</c:v>
                </c:pt>
                <c:pt idx="4">
                  <c:v>80.906254338257497</c:v>
                </c:pt>
                <c:pt idx="5">
                  <c:v>78.548406532466771</c:v>
                </c:pt>
                <c:pt idx="6">
                  <c:v>81.552584601769709</c:v>
                </c:pt>
                <c:pt idx="7">
                  <c:v>88.628814337160208</c:v>
                </c:pt>
                <c:pt idx="8">
                  <c:v>97.856635767627751</c:v>
                </c:pt>
                <c:pt idx="9">
                  <c:v>96.83597327829446</c:v>
                </c:pt>
                <c:pt idx="10">
                  <c:v>102.09426418994185</c:v>
                </c:pt>
                <c:pt idx="11">
                  <c:v>107.9295489920332</c:v>
                </c:pt>
                <c:pt idx="12">
                  <c:v>109.53825939008155</c:v>
                </c:pt>
                <c:pt idx="13">
                  <c:v>118.70072938072408</c:v>
                </c:pt>
                <c:pt idx="14">
                  <c:v>136.36551490511243</c:v>
                </c:pt>
                <c:pt idx="15">
                  <c:v>141.05869126264386</c:v>
                </c:pt>
                <c:pt idx="16">
                  <c:v>132.0375834537854</c:v>
                </c:pt>
                <c:pt idx="17">
                  <c:v>129.57208030227582</c:v>
                </c:pt>
                <c:pt idx="18">
                  <c:v>130.4403679190267</c:v>
                </c:pt>
                <c:pt idx="19">
                  <c:v>139.67296287518522</c:v>
                </c:pt>
                <c:pt idx="20">
                  <c:v>160.2135413578244</c:v>
                </c:pt>
                <c:pt idx="21">
                  <c:v>163.37557995903191</c:v>
                </c:pt>
                <c:pt idx="22">
                  <c:v>159.42022006854032</c:v>
                </c:pt>
                <c:pt idx="23">
                  <c:v>152.19926714841057</c:v>
                </c:pt>
                <c:pt idx="24">
                  <c:v>169.13837647408889</c:v>
                </c:pt>
                <c:pt idx="25">
                  <c:v>205.44122832043851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D-4C04-8966-6DBDA0898BCD}"/>
            </c:ext>
          </c:extLst>
        </c:ser>
        <c:ser>
          <c:idx val="1"/>
          <c:order val="1"/>
          <c:tx>
            <c:strRef>
              <c:f>'VBP completo'!$A$29</c:f>
              <c:strCache>
                <c:ptCount val="1"/>
                <c:pt idx="0">
                  <c:v>Suínos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completo'!$M$29:$AL$29</c:f>
              <c:numCache>
                <c:formatCode>#,##0.00</c:formatCode>
                <c:ptCount val="26"/>
                <c:pt idx="0">
                  <c:v>10.997680881520004</c:v>
                </c:pt>
                <c:pt idx="1">
                  <c:v>13.194166135996792</c:v>
                </c:pt>
                <c:pt idx="2">
                  <c:v>13.522959389892316</c:v>
                </c:pt>
                <c:pt idx="3">
                  <c:v>14.452498458065909</c:v>
                </c:pt>
                <c:pt idx="4">
                  <c:v>16.249144475083433</c:v>
                </c:pt>
                <c:pt idx="5">
                  <c:v>18.83944918000924</c:v>
                </c:pt>
                <c:pt idx="6">
                  <c:v>16.572006564745418</c:v>
                </c:pt>
                <c:pt idx="7">
                  <c:v>17.720595866560057</c:v>
                </c:pt>
                <c:pt idx="8">
                  <c:v>20.982996027971335</c:v>
                </c:pt>
                <c:pt idx="9">
                  <c:v>21.210605101197064</c:v>
                </c:pt>
                <c:pt idx="10">
                  <c:v>23.333792230721276</c:v>
                </c:pt>
                <c:pt idx="11">
                  <c:v>23.370361238939225</c:v>
                </c:pt>
                <c:pt idx="12">
                  <c:v>21.943587418309964</c:v>
                </c:pt>
                <c:pt idx="13">
                  <c:v>25.407353920228044</c:v>
                </c:pt>
                <c:pt idx="14">
                  <c:v>26.685893270277852</c:v>
                </c:pt>
                <c:pt idx="15">
                  <c:v>28.518947348398846</c:v>
                </c:pt>
                <c:pt idx="16">
                  <c:v>26.318840592473979</c:v>
                </c:pt>
                <c:pt idx="17">
                  <c:v>39.233925854735446</c:v>
                </c:pt>
                <c:pt idx="18">
                  <c:v>31.216775137719772</c:v>
                </c:pt>
                <c:pt idx="19">
                  <c:v>38.644633488048335</c:v>
                </c:pt>
                <c:pt idx="20">
                  <c:v>51.954734727678769</c:v>
                </c:pt>
                <c:pt idx="21">
                  <c:v>48.266880060740355</c:v>
                </c:pt>
                <c:pt idx="22">
                  <c:v>42.114502864659414</c:v>
                </c:pt>
                <c:pt idx="23">
                  <c:v>48.184077417560303</c:v>
                </c:pt>
                <c:pt idx="24">
                  <c:v>56.159386352439249</c:v>
                </c:pt>
                <c:pt idx="25">
                  <c:v>66.178252488476801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AD-4C04-8966-6DBDA0898BCD}"/>
            </c:ext>
          </c:extLst>
        </c:ser>
        <c:ser>
          <c:idx val="2"/>
          <c:order val="2"/>
          <c:tx>
            <c:strRef>
              <c:f>'VBP completo'!$A$30</c:f>
              <c:strCache>
                <c:ptCount val="1"/>
                <c:pt idx="0">
                  <c:v>Frango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completo'!$M$30:$AL$30</c:f>
              <c:numCache>
                <c:formatCode>#,##0.00</c:formatCode>
                <c:ptCount val="26"/>
                <c:pt idx="0">
                  <c:v>30.339470260881189</c:v>
                </c:pt>
                <c:pt idx="1">
                  <c:v>31.662752193413539</c:v>
                </c:pt>
                <c:pt idx="2">
                  <c:v>35.955621169064216</c:v>
                </c:pt>
                <c:pt idx="3">
                  <c:v>40.932351525910228</c:v>
                </c:pt>
                <c:pt idx="4">
                  <c:v>43.491411881510359</c:v>
                </c:pt>
                <c:pt idx="5">
                  <c:v>51.475256947558599</c:v>
                </c:pt>
                <c:pt idx="6">
                  <c:v>47.092997012992328</c:v>
                </c:pt>
                <c:pt idx="7">
                  <c:v>63.404816608049622</c:v>
                </c:pt>
                <c:pt idx="8">
                  <c:v>71.437585552774891</c:v>
                </c:pt>
                <c:pt idx="9">
                  <c:v>68.286763917947042</c:v>
                </c:pt>
                <c:pt idx="10">
                  <c:v>67.059353753761044</c:v>
                </c:pt>
                <c:pt idx="11">
                  <c:v>72.131019372910558</c:v>
                </c:pt>
                <c:pt idx="12">
                  <c:v>72.639252489988763</c:v>
                </c:pt>
                <c:pt idx="13">
                  <c:v>80.587909859627402</c:v>
                </c:pt>
                <c:pt idx="14">
                  <c:v>78.113664389104812</c:v>
                </c:pt>
                <c:pt idx="15">
                  <c:v>83.148569985080329</c:v>
                </c:pt>
                <c:pt idx="16">
                  <c:v>84.863123119886325</c:v>
                </c:pt>
                <c:pt idx="17">
                  <c:v>77.187940591159375</c:v>
                </c:pt>
                <c:pt idx="18">
                  <c:v>76.738036931262172</c:v>
                </c:pt>
                <c:pt idx="19">
                  <c:v>89.427699582805175</c:v>
                </c:pt>
                <c:pt idx="20">
                  <c:v>88.207419899324123</c:v>
                </c:pt>
                <c:pt idx="21">
                  <c:v>102.94575463658407</c:v>
                </c:pt>
                <c:pt idx="22">
                  <c:v>100.33813591763526</c:v>
                </c:pt>
                <c:pt idx="23">
                  <c:v>96.954039397255031</c:v>
                </c:pt>
                <c:pt idx="24">
                  <c:v>105.97150142394078</c:v>
                </c:pt>
                <c:pt idx="25">
                  <c:v>110.98539370672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AD-4C04-8966-6DBDA0898BCD}"/>
            </c:ext>
          </c:extLst>
        </c:ser>
        <c:ser>
          <c:idx val="3"/>
          <c:order val="3"/>
          <c:tx>
            <c:strRef>
              <c:f>'VBP completo'!$A$31</c:f>
              <c:strCache>
                <c:ptCount val="1"/>
                <c:pt idx="0">
                  <c:v>Leite</c:v>
                </c:pt>
              </c:strCache>
            </c:strRef>
          </c:tx>
          <c:spPr>
            <a:ln w="5080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triang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2.861423698555899E-2"/>
                  <c:y val="-2.195062155692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AD-4C04-8966-6DBDA0898BCD}"/>
                </c:ext>
              </c:extLst>
            </c:dLbl>
            <c:dLbl>
              <c:idx val="1"/>
              <c:layout>
                <c:manualLayout>
                  <c:x val="-2.692732740391256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AD-4C04-8966-6DBDA0898B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completo'!$M$31:$AL$31</c:f>
              <c:numCache>
                <c:formatCode>#,##0.00</c:formatCode>
                <c:ptCount val="26"/>
                <c:pt idx="0">
                  <c:v>23.991166066310463</c:v>
                </c:pt>
                <c:pt idx="1">
                  <c:v>23.086249942130205</c:v>
                </c:pt>
                <c:pt idx="2">
                  <c:v>23.376690229833841</c:v>
                </c:pt>
                <c:pt idx="3">
                  <c:v>25.742788782795124</c:v>
                </c:pt>
                <c:pt idx="4">
                  <c:v>26.310380272946968</c:v>
                </c:pt>
                <c:pt idx="5">
                  <c:v>29.591727012513996</c:v>
                </c:pt>
                <c:pt idx="6">
                  <c:v>28.265178719353564</c:v>
                </c:pt>
                <c:pt idx="7">
                  <c:v>34.747804499566023</c:v>
                </c:pt>
                <c:pt idx="8">
                  <c:v>39.089325404020741</c:v>
                </c:pt>
                <c:pt idx="9">
                  <c:v>39.851997245736193</c:v>
                </c:pt>
                <c:pt idx="10">
                  <c:v>44.010934512788261</c:v>
                </c:pt>
                <c:pt idx="11">
                  <c:v>45.370062992042868</c:v>
                </c:pt>
                <c:pt idx="12">
                  <c:v>47.409962816960146</c:v>
                </c:pt>
                <c:pt idx="13">
                  <c:v>54.862697861951929</c:v>
                </c:pt>
                <c:pt idx="14">
                  <c:v>59.244386770416803</c:v>
                </c:pt>
                <c:pt idx="15">
                  <c:v>53.47818635152003</c:v>
                </c:pt>
                <c:pt idx="16">
                  <c:v>49.621627221215668</c:v>
                </c:pt>
                <c:pt idx="17">
                  <c:v>55.288707812940103</c:v>
                </c:pt>
                <c:pt idx="18">
                  <c:v>54.466889994226094</c:v>
                </c:pt>
                <c:pt idx="19">
                  <c:v>53.962130258819997</c:v>
                </c:pt>
                <c:pt idx="20">
                  <c:v>55.480584087520839</c:v>
                </c:pt>
                <c:pt idx="21">
                  <c:v>55.541778789528315</c:v>
                </c:pt>
                <c:pt idx="22">
                  <c:v>60.640470435847483</c:v>
                </c:pt>
                <c:pt idx="23">
                  <c:v>68.190382915113403</c:v>
                </c:pt>
                <c:pt idx="24">
                  <c:v>67.8033496611923</c:v>
                </c:pt>
                <c:pt idx="25">
                  <c:v>69.720952469999986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AD-4C04-8966-6DBDA0898BCD}"/>
            </c:ext>
          </c:extLst>
        </c:ser>
        <c:ser>
          <c:idx val="4"/>
          <c:order val="4"/>
          <c:tx>
            <c:strRef>
              <c:f>'VBP completo'!$A$32</c:f>
              <c:strCache>
                <c:ptCount val="1"/>
                <c:pt idx="0">
                  <c:v>Ovos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561153793022834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AD-4C04-8966-6DBDA0898BCD}"/>
                </c:ext>
              </c:extLst>
            </c:dLbl>
            <c:dLbl>
              <c:idx val="1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AD-4C04-8966-6DBDA0898BCD}"/>
                </c:ext>
              </c:extLst>
            </c:dLbl>
            <c:dLbl>
              <c:idx val="2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AD-4C04-8966-6DBDA0898BCD}"/>
                </c:ext>
              </c:extLst>
            </c:dLbl>
            <c:dLbl>
              <c:idx val="3"/>
              <c:layout>
                <c:manualLayout>
                  <c:x val="-2.3924628348581934E-2"/>
                  <c:y val="3.1108130714429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8AD-4C04-8966-6DBDA0898BCD}"/>
                </c:ext>
              </c:extLst>
            </c:dLbl>
            <c:dLbl>
              <c:idx val="4"/>
              <c:layout>
                <c:manualLayout>
                  <c:x val="-3.0009918710900054E-2"/>
                  <c:y val="2.0887388054416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82185108634817E-2"/>
                      <c:h val="5.616626212810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8AD-4C04-8966-6DBDA0898BCD}"/>
                </c:ext>
              </c:extLst>
            </c:dLbl>
            <c:dLbl>
              <c:idx val="5"/>
              <c:layout>
                <c:manualLayout>
                  <c:x val="-2.561153793022841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8AD-4C04-8966-6DBDA0898B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completo'!$M$32:$AL$32</c:f>
              <c:numCache>
                <c:formatCode>#,##0.00</c:formatCode>
                <c:ptCount val="26"/>
                <c:pt idx="0">
                  <c:v>9.3803968451132178</c:v>
                </c:pt>
                <c:pt idx="1">
                  <c:v>9.2436103791752338</c:v>
                </c:pt>
                <c:pt idx="2">
                  <c:v>9.5234950338810513</c:v>
                </c:pt>
                <c:pt idx="3">
                  <c:v>11.519797760325938</c:v>
                </c:pt>
                <c:pt idx="4">
                  <c:v>11.67544758099071</c:v>
                </c:pt>
                <c:pt idx="5">
                  <c:v>11.754817930275092</c:v>
                </c:pt>
                <c:pt idx="6">
                  <c:v>11.16588923583396</c:v>
                </c:pt>
                <c:pt idx="7">
                  <c:v>11.866982116026483</c:v>
                </c:pt>
                <c:pt idx="8">
                  <c:v>12.810148136853234</c:v>
                </c:pt>
                <c:pt idx="9">
                  <c:v>12.778648007178477</c:v>
                </c:pt>
                <c:pt idx="10">
                  <c:v>12.428686044882692</c:v>
                </c:pt>
                <c:pt idx="11">
                  <c:v>14.64519967149938</c:v>
                </c:pt>
                <c:pt idx="12">
                  <c:v>17.16776110023266</c:v>
                </c:pt>
                <c:pt idx="13">
                  <c:v>20.191503691029297</c:v>
                </c:pt>
                <c:pt idx="14">
                  <c:v>22.685946287174019</c:v>
                </c:pt>
                <c:pt idx="15">
                  <c:v>23.098245602315124</c:v>
                </c:pt>
                <c:pt idx="16">
                  <c:v>24.902118696108197</c:v>
                </c:pt>
                <c:pt idx="17">
                  <c:v>20.521346845996028</c:v>
                </c:pt>
                <c:pt idx="18">
                  <c:v>18.667338323274983</c:v>
                </c:pt>
                <c:pt idx="19">
                  <c:v>18.902995381633787</c:v>
                </c:pt>
                <c:pt idx="20">
                  <c:v>20.759253043751038</c:v>
                </c:pt>
                <c:pt idx="21">
                  <c:v>19.453559140164565</c:v>
                </c:pt>
                <c:pt idx="22">
                  <c:v>21.584339934429721</c:v>
                </c:pt>
                <c:pt idx="23">
                  <c:v>26.596534662935426</c:v>
                </c:pt>
                <c:pt idx="24">
                  <c:v>26.172820697293492</c:v>
                </c:pt>
                <c:pt idx="25">
                  <c:v>24.815940837857141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AD-4C04-8966-6DBDA0898B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4328"/>
        <c:axId val="923820376"/>
      </c:lineChart>
      <c:catAx>
        <c:axId val="92891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5.2369377410819602E-2"/>
              <c:y val="0.93444405987713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3820376"/>
        <c:crosses val="autoZero"/>
        <c:auto val="1"/>
        <c:lblAlgn val="ctr"/>
        <c:lblOffset val="100"/>
        <c:noMultiLvlLbl val="0"/>
      </c:catAx>
      <c:valAx>
        <c:axId val="923820376"/>
        <c:scaling>
          <c:orientation val="minMax"/>
          <c:max val="25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495962043206135E-2"/>
          <c:y val="0.15796660032880505"/>
          <c:w val="0.52955585131818039"/>
          <c:h val="7.0680107294280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cap="all" baseline="0">
                <a:effectLst/>
              </a:rPr>
              <a:t>Indice do Produto de Lavouras</a:t>
            </a:r>
            <a:endParaRPr lang="pt-BR" sz="1600">
              <a:effectLst/>
            </a:endParaRPr>
          </a:p>
        </c:rich>
      </c:tx>
      <c:layout>
        <c:manualLayout>
          <c:xMode val="edge"/>
          <c:yMode val="edge"/>
          <c:x val="0.18260976207996077"/>
          <c:y val="5.789909015715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219076092309653"/>
          <c:y val="0.17359404205987899"/>
          <c:w val="0.84082861606979042"/>
          <c:h val="0.61361345030382364"/>
        </c:manualLayout>
      </c:layout>
      <c:lineChart>
        <c:grouping val="standard"/>
        <c:varyColors val="0"/>
        <c:ser>
          <c:idx val="0"/>
          <c:order val="0"/>
          <c:tx>
            <c:strRef>
              <c:f>Laspeyres!$B$4</c:f>
              <c:strCache>
                <c:ptCount val="1"/>
                <c:pt idx="0">
                  <c:v>Indice de Prod. base 1990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2206423976252426E-2"/>
                  <c:y val="-5.9243013357821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0C-45E2-8314-33FD04B4CE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0C-45E2-8314-33FD04B4CE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0C-45E2-8314-33FD04B4CE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0C-45E2-8314-33FD04B4CE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0C-45E2-8314-33FD04B4CE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0C-45E2-8314-33FD04B4CE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0C-45E2-8314-33FD04B4CE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0C-45E2-8314-33FD04B4CE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0C-45E2-8314-33FD04B4CEF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0C-45E2-8314-33FD04B4CE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0C-45E2-8314-33FD04B4CEF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0C-45E2-8314-33FD04B4CEF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70C-45E2-8314-33FD04B4CEF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0C-45E2-8314-33FD04B4CEF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0C-45E2-8314-33FD04B4CE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0C-45E2-8314-33FD04B4CEF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0C-45E2-8314-33FD04B4CE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0C-45E2-8314-33FD04B4CEF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0C-45E2-8314-33FD04B4CE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0C-45E2-8314-33FD04B4CEF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0C-45E2-8314-33FD04B4CEF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0C-45E2-8314-33FD04B4CEF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0C-45E2-8314-33FD04B4CEF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0C-45E2-8314-33FD04B4CEF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0C-45E2-8314-33FD04B4CEF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70C-45E2-8314-33FD04B4CEF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0C-45E2-8314-33FD04B4CEF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70C-45E2-8314-33FD04B4CEF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C-4338-BF65-7805A681C6F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21-4DEE-868E-379CC6E241DD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04-491D-BBF4-2AB38BB99F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04-491D-BBF4-2AB38BB99F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8-4CAA-8FFC-D699DE7987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18-4CAA-8FFC-D699DE7987CA}"/>
                </c:ext>
              </c:extLst>
            </c:dLbl>
            <c:dLbl>
              <c:idx val="34"/>
              <c:layout>
                <c:manualLayout>
                  <c:x val="-5.0374346547539346E-3"/>
                  <c:y val="-6.13531149262589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B6-4233-91C4-7A82EFE0634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Laspeyres!$A$5:$A$39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Laspeyres!$B$5:$B$39</c:f>
              <c:numCache>
                <c:formatCode>#,##0.00</c:formatCode>
                <c:ptCount val="35"/>
                <c:pt idx="0">
                  <c:v>100</c:v>
                </c:pt>
                <c:pt idx="1">
                  <c:v>100.27530507723812</c:v>
                </c:pt>
                <c:pt idx="2">
                  <c:v>106.20337614689583</c:v>
                </c:pt>
                <c:pt idx="3">
                  <c:v>104.57013107177708</c:v>
                </c:pt>
                <c:pt idx="4">
                  <c:v>114.16378114998278</c:v>
                </c:pt>
                <c:pt idx="5">
                  <c:v>115.0243365219558</c:v>
                </c:pt>
                <c:pt idx="6">
                  <c:v>106.55186735424465</c:v>
                </c:pt>
                <c:pt idx="7">
                  <c:v>114.03726174297621</c:v>
                </c:pt>
                <c:pt idx="8">
                  <c:v>117.31915303619954</c:v>
                </c:pt>
                <c:pt idx="9">
                  <c:v>124.73428473228039</c:v>
                </c:pt>
                <c:pt idx="10">
                  <c:v>128.2930427050309</c:v>
                </c:pt>
                <c:pt idx="11">
                  <c:v>136.97467822597082</c:v>
                </c:pt>
                <c:pt idx="12">
                  <c:v>139.51013982605832</c:v>
                </c:pt>
                <c:pt idx="13">
                  <c:v>153.86772745036896</c:v>
                </c:pt>
                <c:pt idx="14">
                  <c:v>159.64137908018984</c:v>
                </c:pt>
                <c:pt idx="15">
                  <c:v>157.13592812127436</c:v>
                </c:pt>
                <c:pt idx="16">
                  <c:v>164.85795860548876</c:v>
                </c:pt>
                <c:pt idx="17">
                  <c:v>180.78064006776765</c:v>
                </c:pt>
                <c:pt idx="18">
                  <c:v>196.90957977720942</c:v>
                </c:pt>
                <c:pt idx="19">
                  <c:v>190.30947676981953</c:v>
                </c:pt>
                <c:pt idx="20">
                  <c:v>203.58132140625628</c:v>
                </c:pt>
                <c:pt idx="21">
                  <c:v>217.04060018402259</c:v>
                </c:pt>
                <c:pt idx="22">
                  <c:v>210.93205316011404</c:v>
                </c:pt>
                <c:pt idx="23">
                  <c:v>228.00911847668428</c:v>
                </c:pt>
                <c:pt idx="24">
                  <c:v>232.56171197227314</c:v>
                </c:pt>
                <c:pt idx="25">
                  <c:v>242.31800918291268</c:v>
                </c:pt>
                <c:pt idx="26">
                  <c:v>228.23864268484809</c:v>
                </c:pt>
                <c:pt idx="27">
                  <c:v>253.8258521235316</c:v>
                </c:pt>
                <c:pt idx="28">
                  <c:v>245.13449547955108</c:v>
                </c:pt>
                <c:pt idx="29">
                  <c:v>248.61895382494558</c:v>
                </c:pt>
                <c:pt idx="30">
                  <c:v>258.84777688038417</c:v>
                </c:pt>
                <c:pt idx="31">
                  <c:v>254.98782385273259</c:v>
                </c:pt>
                <c:pt idx="32">
                  <c:v>256.90396455429726</c:v>
                </c:pt>
                <c:pt idx="33">
                  <c:v>298.26925574804238</c:v>
                </c:pt>
                <c:pt idx="34">
                  <c:v>285.79931953769926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0C-45E2-8314-33FD04B4CE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23821552"/>
        <c:axId val="923819200"/>
      </c:lineChart>
      <c:catAx>
        <c:axId val="9238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Fonte:  IBGE. Elaboração: CGPOP/DAEP/SPA/MAPA.</a:t>
                </a:r>
                <a:endParaRPr lang="pt-BR" sz="1000" b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10462861568352522"/>
              <c:y val="0.9214226633581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19200"/>
        <c:crosses val="autoZero"/>
        <c:auto val="1"/>
        <c:lblAlgn val="ctr"/>
        <c:lblOffset val="100"/>
        <c:tickLblSkip val="1"/>
        <c:noMultiLvlLbl val="0"/>
      </c:catAx>
      <c:valAx>
        <c:axId val="92381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</a:p>
            </c:rich>
          </c:tx>
          <c:layout>
            <c:manualLayout>
              <c:xMode val="edge"/>
              <c:yMode val="edge"/>
              <c:x val="2.0554329163600685E-2"/>
              <c:y val="0.45856437610311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b="1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120297462817132E-2"/>
          <c:y val="0.22645753996124757"/>
          <c:w val="0.8962055789537936"/>
          <c:h val="0.61732509242796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'VBP completo'!$AJ$3</c:f>
              <c:strCache>
                <c:ptCount val="1"/>
                <c:pt idx="0">
                  <c:v>2023</c:v>
                </c:pt>
              </c:strCache>
            </c:strRef>
          </c:tx>
          <c:spPr>
            <a:pattFill prst="dkDn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completo'!$AJ$27,'VBP completo'!$AJ$33:$AJ$34)</c:f>
              <c:numCache>
                <c:formatCode>#,##0.00</c:formatCode>
                <c:ptCount val="3"/>
                <c:pt idx="0">
                  <c:v>875.36713056899134</c:v>
                </c:pt>
                <c:pt idx="1">
                  <c:v>392.12430154127469</c:v>
                </c:pt>
                <c:pt idx="2">
                  <c:v>1267.491432110266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B7-45B6-A473-822D44588A34}"/>
            </c:ext>
          </c:extLst>
        </c:ser>
        <c:ser>
          <c:idx val="1"/>
          <c:order val="1"/>
          <c:tx>
            <c:strRef>
              <c:f>'VBP completo'!$AK$3</c:f>
              <c:strCache>
                <c:ptCount val="1"/>
                <c:pt idx="0">
                  <c:v>2024**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completo'!$AK$27,'VBP completo'!$AK$33:$AK$34)</c:f>
              <c:numCache>
                <c:formatCode>#,##0.00</c:formatCode>
                <c:ptCount val="3"/>
                <c:pt idx="0">
                  <c:v>847.10586849453784</c:v>
                </c:pt>
                <c:pt idx="1">
                  <c:v>425.24543460895467</c:v>
                </c:pt>
                <c:pt idx="2">
                  <c:v>1272.3513031034925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737294008"/>
        <c:axId val="737293680"/>
      </c:barChart>
      <c:lineChart>
        <c:grouping val="standard"/>
        <c:varyColors val="0"/>
        <c:ser>
          <c:idx val="2"/>
          <c:order val="2"/>
          <c:tx>
            <c:strRef>
              <c:f>'VBP completo'!$AN$3</c:f>
              <c:strCache>
                <c:ptCount val="1"/>
                <c:pt idx="0">
                  <c:v>% 2024/2023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"/>
                  <c:y val="-0.448229493500672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4E-435F-AC37-0A744D1F6B44}"/>
                </c:ext>
              </c:extLst>
            </c:dLbl>
            <c:dLbl>
              <c:idx val="1"/>
              <c:layout>
                <c:manualLayout>
                  <c:x val="-0.05"/>
                  <c:y val="-0.259973106230390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E-435F-AC37-0A744D1F6B44}"/>
                </c:ext>
              </c:extLst>
            </c:dLbl>
            <c:dLbl>
              <c:idx val="2"/>
              <c:layout>
                <c:manualLayout>
                  <c:x val="-4.7222222222222325E-2"/>
                  <c:y val="-0.573733751680860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4E-435F-AC37-0A744D1F6B44}"/>
                </c:ext>
              </c:extLst>
            </c:dLbl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completo'!$AN$27,'VBP completo'!$AN$33:$AN$34)</c:f>
              <c:numCache>
                <c:formatCode>0.0%</c:formatCode>
                <c:ptCount val="3"/>
                <c:pt idx="0">
                  <c:v>-3.2285039142472272E-2</c:v>
                </c:pt>
                <c:pt idx="1">
                  <c:v>8.4465902616835509E-2</c:v>
                </c:pt>
                <c:pt idx="2">
                  <c:v>3.8342436643814537E-3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6206048"/>
        <c:axId val="1086210640"/>
      </c:lineChart>
      <c:catAx>
        <c:axId val="737294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sz="800" b="0" i="0" u="none" strike="noStrike" baseline="0">
                    <a:effectLst/>
                  </a:rPr>
                  <a:t>Fonte: </a:t>
                </a:r>
                <a:r>
                  <a:rPr lang="pt-BR" sz="800" b="0" i="0" u="none" strike="noStrike" baseline="0">
                    <a:effectLst/>
                  </a:rPr>
                  <a:t>: CGPOP/DAEP/SPA/MAPA</a:t>
                </a:r>
              </a:p>
            </c:rich>
          </c:tx>
          <c:layout>
            <c:manualLayout>
              <c:xMode val="edge"/>
              <c:yMode val="edge"/>
              <c:x val="8.4768362739906969E-2"/>
              <c:y val="0.922617273511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37293680"/>
        <c:crosses val="autoZero"/>
        <c:auto val="1"/>
        <c:lblAlgn val="ctr"/>
        <c:lblOffset val="100"/>
        <c:noMultiLvlLbl val="0"/>
      </c:catAx>
      <c:valAx>
        <c:axId val="73729368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layout>
            <c:manualLayout>
              <c:xMode val="edge"/>
              <c:yMode val="edge"/>
              <c:x val="1.8604651162790697E-2"/>
              <c:y val="0.31986605122635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737294008"/>
        <c:crosses val="autoZero"/>
        <c:crossBetween val="between"/>
      </c:valAx>
      <c:valAx>
        <c:axId val="1086210640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1086206048"/>
        <c:crosses val="max"/>
        <c:crossBetween val="between"/>
      </c:valAx>
      <c:catAx>
        <c:axId val="10862060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862106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84076990376203"/>
          <c:y val="0.12222583001867035"/>
          <c:w val="0.52848098638832941"/>
          <c:h val="9.118894620931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VBP completo'!A1"/><Relationship Id="rId7" Type="http://schemas.openxmlformats.org/officeDocument/2006/relationships/hyperlink" Target="#Varia&#231;&#227;o!A1"/><Relationship Id="rId2" Type="http://schemas.openxmlformats.org/officeDocument/2006/relationships/hyperlink" Target="#VBP!A1"/><Relationship Id="rId1" Type="http://schemas.openxmlformats.org/officeDocument/2006/relationships/image" Target="../media/image1.jpeg"/><Relationship Id="rId6" Type="http://schemas.openxmlformats.org/officeDocument/2006/relationships/hyperlink" Target="#Laspeyres!A1"/><Relationship Id="rId5" Type="http://schemas.openxmlformats.org/officeDocument/2006/relationships/hyperlink" Target="#'VBP Completo Nominal'!A1"/><Relationship Id="rId4" Type="http://schemas.openxmlformats.org/officeDocument/2006/relationships/hyperlink" Target="#'Ranking 2024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PA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379095</xdr:colOff>
      <xdr:row>6</xdr:row>
      <xdr:rowOff>36195</xdr:rowOff>
    </xdr:from>
    <xdr:to>
      <xdr:col>3</xdr:col>
      <xdr:colOff>493395</xdr:colOff>
      <xdr:row>7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8695" y="1483995"/>
          <a:ext cx="1333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b="1"/>
            <a:t>mês/2020</a:t>
          </a:r>
        </a:p>
      </xdr:txBody>
    </xdr:sp>
    <xdr:clientData/>
  </xdr:twoCellAnchor>
  <xdr:twoCellAnchor>
    <xdr:from>
      <xdr:col>0</xdr:col>
      <xdr:colOff>409576</xdr:colOff>
      <xdr:row>1</xdr:row>
      <xdr:rowOff>123826</xdr:rowOff>
    </xdr:from>
    <xdr:to>
      <xdr:col>10</xdr:col>
      <xdr:colOff>561976</xdr:colOff>
      <xdr:row>26</xdr:row>
      <xdr:rowOff>19051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576" y="666751"/>
          <a:ext cx="6248400" cy="4419600"/>
        </a:xfrm>
        <a:prstGeom prst="rect">
          <a:avLst/>
        </a:prstGeom>
        <a:gradFill flip="none" rotWithShape="1"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rgbClr val="001848"/>
              </a:solidFill>
            </a:ln>
          </a:endParaRPr>
        </a:p>
      </xdr:txBody>
    </xdr:sp>
    <xdr:clientData/>
  </xdr:twoCellAnchor>
  <xdr:twoCellAnchor editAs="oneCell">
    <xdr:from>
      <xdr:col>0</xdr:col>
      <xdr:colOff>546758</xdr:colOff>
      <xdr:row>2</xdr:row>
      <xdr:rowOff>107022</xdr:rowOff>
    </xdr:from>
    <xdr:to>
      <xdr:col>10</xdr:col>
      <xdr:colOff>420794</xdr:colOff>
      <xdr:row>25</xdr:row>
      <xdr:rowOff>19050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58" y="830922"/>
          <a:ext cx="5970036" cy="4074453"/>
        </a:xfrm>
        <a:prstGeom prst="rect">
          <a:avLst/>
        </a:prstGeom>
      </xdr:spPr>
    </xdr:pic>
    <xdr:clientData/>
  </xdr:twoCellAnchor>
  <xdr:twoCellAnchor>
    <xdr:from>
      <xdr:col>1</xdr:col>
      <xdr:colOff>426827</xdr:colOff>
      <xdr:row>7</xdr:row>
      <xdr:rowOff>74573</xdr:rowOff>
    </xdr:from>
    <xdr:to>
      <xdr:col>3</xdr:col>
      <xdr:colOff>541127</xdr:colOff>
      <xdr:row>8</xdr:row>
      <xdr:rowOff>179348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36427" y="1703348"/>
          <a:ext cx="1333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dezembro/2024</a:t>
          </a:r>
        </a:p>
      </xdr:txBody>
    </xdr:sp>
    <xdr:clientData/>
  </xdr:twoCellAnchor>
  <xdr:twoCellAnchor>
    <xdr:from>
      <xdr:col>11</xdr:col>
      <xdr:colOff>318359</xdr:colOff>
      <xdr:row>7</xdr:row>
      <xdr:rowOff>17145</xdr:rowOff>
    </xdr:from>
    <xdr:to>
      <xdr:col>14</xdr:col>
      <xdr:colOff>64757</xdr:colOff>
      <xdr:row>9</xdr:row>
      <xdr:rowOff>26670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023959" y="1283970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VBP Brasil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7</xdr:row>
      <xdr:rowOff>12382</xdr:rowOff>
    </xdr:from>
    <xdr:to>
      <xdr:col>17</xdr:col>
      <xdr:colOff>322330</xdr:colOff>
      <xdr:row>9</xdr:row>
      <xdr:rowOff>31432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442787" y="1279207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Real</a:t>
          </a:r>
        </a:p>
      </xdr:txBody>
    </xdr:sp>
    <xdr:clientData/>
  </xdr:twoCellAnchor>
  <xdr:twoCellAnchor>
    <xdr:from>
      <xdr:col>13</xdr:col>
      <xdr:colOff>424921</xdr:colOff>
      <xdr:row>15</xdr:row>
      <xdr:rowOff>66675</xdr:rowOff>
    </xdr:from>
    <xdr:to>
      <xdr:col>15</xdr:col>
      <xdr:colOff>491596</xdr:colOff>
      <xdr:row>17</xdr:row>
      <xdr:rowOff>71350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083021" y="2781300"/>
          <a:ext cx="1285875" cy="366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Ranking </a:t>
          </a:r>
        </a:p>
      </xdr:txBody>
    </xdr:sp>
    <xdr:clientData/>
  </xdr:twoCellAnchor>
  <xdr:twoCellAnchor>
    <xdr:from>
      <xdr:col>11</xdr:col>
      <xdr:colOff>211667</xdr:colOff>
      <xdr:row>3</xdr:row>
      <xdr:rowOff>69849</xdr:rowOff>
    </xdr:from>
    <xdr:to>
      <xdr:col>17</xdr:col>
      <xdr:colOff>276225</xdr:colOff>
      <xdr:row>5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17267" y="612774"/>
          <a:ext cx="3455458" cy="444501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VBP BRASIL - Selecione</a:t>
          </a:r>
          <a:endParaRPr lang="pt-BR" sz="18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200025</xdr:colOff>
      <xdr:row>12</xdr:row>
      <xdr:rowOff>108903</xdr:rowOff>
    </xdr:from>
    <xdr:to>
      <xdr:col>17</xdr:col>
      <xdr:colOff>112780</xdr:colOff>
      <xdr:row>14</xdr:row>
      <xdr:rowOff>127953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248525" y="2280603"/>
          <a:ext cx="2960755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Nominal </a:t>
          </a:r>
        </a:p>
      </xdr:txBody>
    </xdr:sp>
    <xdr:clientData/>
  </xdr:twoCellAnchor>
  <xdr:twoCellAnchor>
    <xdr:from>
      <xdr:col>11</xdr:col>
      <xdr:colOff>318359</xdr:colOff>
      <xdr:row>9</xdr:row>
      <xdr:rowOff>153512</xdr:rowOff>
    </xdr:from>
    <xdr:to>
      <xdr:col>14</xdr:col>
      <xdr:colOff>64757</xdr:colOff>
      <xdr:row>11</xdr:row>
      <xdr:rowOff>163037</xdr:rowOff>
    </xdr:to>
    <xdr:sp macro="" textlink="">
      <xdr:nvSpPr>
        <xdr:cNvPr id="19" name="Retângulo: Cantos Arredondados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023959" y="1782287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Laspeyres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9</xdr:row>
      <xdr:rowOff>151130</xdr:rowOff>
    </xdr:from>
    <xdr:to>
      <xdr:col>17</xdr:col>
      <xdr:colOff>322330</xdr:colOff>
      <xdr:row>11</xdr:row>
      <xdr:rowOff>170180</xdr:rowOff>
    </xdr:to>
    <xdr:sp macro="" textlink="">
      <xdr:nvSpPr>
        <xdr:cNvPr id="20" name="Retângulo: Cantos Arredondados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442787" y="1779905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Variação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183356</xdr:colOff>
      <xdr:row>2</xdr:row>
      <xdr:rowOff>447674</xdr:rowOff>
    </xdr:from>
    <xdr:to>
      <xdr:col>21</xdr:col>
      <xdr:colOff>304800</xdr:colOff>
      <xdr:row>14</xdr:row>
      <xdr:rowOff>171450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217170</xdr:colOff>
      <xdr:row>15</xdr:row>
      <xdr:rowOff>106680</xdr:rowOff>
    </xdr:from>
    <xdr:to>
      <xdr:col>21</xdr:col>
      <xdr:colOff>323850</xdr:colOff>
      <xdr:row>27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1279070</xdr:colOff>
      <xdr:row>2</xdr:row>
      <xdr:rowOff>40822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0"/>
          <a:ext cx="1279070" cy="445635"/>
          <a:chOff x="0" y="0"/>
          <a:chExt cx="1583530" cy="432820"/>
        </a:xfrm>
      </xdr:grpSpPr>
      <xdr:sp macro="" textlink="">
        <xdr:nvSpPr>
          <xdr:cNvPr id="10" name="Seta: para a Esquerda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0</xdr:rowOff>
    </xdr:from>
    <xdr:to>
      <xdr:col>0</xdr:col>
      <xdr:colOff>1306284</xdr:colOff>
      <xdr:row>2</xdr:row>
      <xdr:rowOff>13607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27214" y="0"/>
          <a:ext cx="1279070" cy="449036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3</xdr:row>
      <xdr:rowOff>7620</xdr:rowOff>
    </xdr:from>
    <xdr:to>
      <xdr:col>11</xdr:col>
      <xdr:colOff>493395</xdr:colOff>
      <xdr:row>15</xdr:row>
      <xdr:rowOff>200025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517072</xdr:colOff>
      <xdr:row>0</xdr:row>
      <xdr:rowOff>81642</xdr:rowOff>
    </xdr:from>
    <xdr:to>
      <xdr:col>7</xdr:col>
      <xdr:colOff>503464</xdr:colOff>
      <xdr:row>2</xdr:row>
      <xdr:rowOff>204106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4755697" y="81642"/>
          <a:ext cx="1177017" cy="574902"/>
          <a:chOff x="0" y="0"/>
          <a:chExt cx="1583530" cy="432820"/>
        </a:xfrm>
      </xdr:grpSpPr>
      <xdr:sp macro="" textlink="">
        <xdr:nvSpPr>
          <xdr:cNvPr id="4" name="Seta: para a Esquerda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5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5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1279071</xdr:colOff>
      <xdr:row>2</xdr:row>
      <xdr:rowOff>13607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1279071" cy="442232"/>
          <a:chOff x="0" y="0"/>
          <a:chExt cx="1583530" cy="432820"/>
        </a:xfrm>
      </xdr:grpSpPr>
      <xdr:sp macro="" textlink="">
        <xdr:nvSpPr>
          <xdr:cNvPr id="3" name="Seta: para a Esquerda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rgbClr val="EA813A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rgbClr val="EA813A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54429</xdr:colOff>
      <xdr:row>0</xdr:row>
      <xdr:rowOff>40822</xdr:rowOff>
    </xdr:from>
    <xdr:to>
      <xdr:col>0</xdr:col>
      <xdr:colOff>1333499</xdr:colOff>
      <xdr:row>1</xdr:row>
      <xdr:rowOff>204108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54429" y="40822"/>
          <a:ext cx="1279070" cy="449036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419099</xdr:colOff>
      <xdr:row>14</xdr:row>
      <xdr:rowOff>228599</xdr:rowOff>
    </xdr:from>
    <xdr:to>
      <xdr:col>9</xdr:col>
      <xdr:colOff>419099</xdr:colOff>
      <xdr:row>26</xdr:row>
      <xdr:rowOff>142874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587830</xdr:colOff>
      <xdr:row>0</xdr:row>
      <xdr:rowOff>0</xdr:rowOff>
    </xdr:from>
    <xdr:to>
      <xdr:col>7</xdr:col>
      <xdr:colOff>0</xdr:colOff>
      <xdr:row>2</xdr:row>
      <xdr:rowOff>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5307997" y="0"/>
          <a:ext cx="1444170" cy="455083"/>
          <a:chOff x="0" y="0"/>
          <a:chExt cx="1583530" cy="432820"/>
        </a:xfrm>
      </xdr:grpSpPr>
      <xdr:sp macro="" textlink="">
        <xdr:nvSpPr>
          <xdr:cNvPr id="9" name="Seta: para a Esquerda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Normal="100" workbookViewId="0">
      <selection sqref="A1:D1"/>
    </sheetView>
  </sheetViews>
  <sheetFormatPr defaultColWidth="9.140625" defaultRowHeight="14.25" x14ac:dyDescent="0.25"/>
  <cols>
    <col min="1" max="11" width="9.140625" style="127"/>
    <col min="12" max="12" width="5.140625" style="127" customWidth="1"/>
    <col min="13" max="16384" width="9.140625" style="127"/>
  </cols>
  <sheetData>
    <row r="1" spans="1:1" x14ac:dyDescent="0.25">
      <c r="A1" s="127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1"/>
  <sheetViews>
    <sheetView showGridLines="0" zoomScale="80" zoomScaleNormal="80" workbookViewId="0">
      <selection activeCell="A4" sqref="A4"/>
    </sheetView>
  </sheetViews>
  <sheetFormatPr defaultColWidth="8.85546875" defaultRowHeight="17.25" x14ac:dyDescent="0.3"/>
  <cols>
    <col min="1" max="1" width="22" style="3" bestFit="1" customWidth="1"/>
    <col min="2" max="6" width="22.140625" style="3" bestFit="1" customWidth="1"/>
    <col min="7" max="8" width="13.140625" style="3" bestFit="1" customWidth="1"/>
    <col min="9" max="9" width="10.140625" style="3" bestFit="1" customWidth="1"/>
    <col min="10" max="16384" width="8.85546875" style="3"/>
  </cols>
  <sheetData>
    <row r="1" spans="1:22" ht="15.6" customHeight="1" x14ac:dyDescent="0.3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22" x14ac:dyDescent="0.3">
      <c r="A2" s="4" t="s">
        <v>2</v>
      </c>
      <c r="B2" s="4"/>
      <c r="C2" s="4"/>
      <c r="D2" s="4"/>
      <c r="E2" s="5"/>
      <c r="F2" s="5"/>
      <c r="G2" s="5"/>
      <c r="H2" s="5"/>
      <c r="I2" s="5"/>
    </row>
    <row r="3" spans="1:22" ht="52.5" thickBot="1" x14ac:dyDescent="0.35">
      <c r="A3" s="6" t="s">
        <v>3</v>
      </c>
      <c r="B3" s="7">
        <v>2021</v>
      </c>
      <c r="C3" s="7">
        <v>2022</v>
      </c>
      <c r="D3" s="7">
        <v>2023</v>
      </c>
      <c r="E3" s="7" t="s">
        <v>4</v>
      </c>
      <c r="F3" s="7" t="s">
        <v>119</v>
      </c>
      <c r="G3" s="8" t="s">
        <v>5</v>
      </c>
      <c r="H3" s="8" t="s">
        <v>124</v>
      </c>
      <c r="I3" s="9" t="s">
        <v>6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21" customHeight="1" thickTop="1" x14ac:dyDescent="0.3">
      <c r="A4" s="11" t="s">
        <v>7</v>
      </c>
      <c r="B4" s="12">
        <v>29964857153.003098</v>
      </c>
      <c r="C4" s="12">
        <v>35754798952.386269</v>
      </c>
      <c r="D4" s="12">
        <v>32475002451.667999</v>
      </c>
      <c r="E4" s="12">
        <v>34355274817.067638</v>
      </c>
      <c r="F4" s="12">
        <v>33349072249.999996</v>
      </c>
      <c r="G4" s="13">
        <v>5.789906769670039</v>
      </c>
      <c r="H4" s="13">
        <v>-2.9288153636534475</v>
      </c>
      <c r="I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21" customHeight="1" x14ac:dyDescent="0.3">
      <c r="A5" s="16" t="s">
        <v>8</v>
      </c>
      <c r="B5" s="17">
        <v>3122602288.5691347</v>
      </c>
      <c r="C5" s="17">
        <v>3672110377.1563058</v>
      </c>
      <c r="D5" s="17">
        <v>4676305237.7695198</v>
      </c>
      <c r="E5" s="17">
        <v>4411064035.1451998</v>
      </c>
      <c r="F5" s="17">
        <v>5279389652</v>
      </c>
      <c r="G5" s="18">
        <v>-5.672025009873682</v>
      </c>
      <c r="H5" s="18">
        <v>19.68517368907834</v>
      </c>
      <c r="I5" s="19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1" customHeight="1" x14ac:dyDescent="0.3">
      <c r="A6" s="11" t="s">
        <v>9</v>
      </c>
      <c r="B6" s="12">
        <v>21821885185.459122</v>
      </c>
      <c r="C6" s="12">
        <v>17506499489.336086</v>
      </c>
      <c r="D6" s="12">
        <v>21693694799.301144</v>
      </c>
      <c r="E6" s="12">
        <v>25150918030.69157</v>
      </c>
      <c r="F6" s="12">
        <v>23905403994.766659</v>
      </c>
      <c r="G6" s="13">
        <v>15.936534847451611</v>
      </c>
      <c r="H6" s="13">
        <v>-4.9521613262983655</v>
      </c>
      <c r="I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" customHeight="1" x14ac:dyDescent="0.3">
      <c r="A7" s="16" t="s">
        <v>10</v>
      </c>
      <c r="B7" s="17">
        <v>13640640828.838272</v>
      </c>
      <c r="C7" s="17">
        <v>16304902447.001055</v>
      </c>
      <c r="D7" s="17">
        <v>18735477433.124157</v>
      </c>
      <c r="E7" s="17">
        <v>22367460056.43539</v>
      </c>
      <c r="F7" s="17">
        <v>18985335480.498112</v>
      </c>
      <c r="G7" s="18">
        <v>19.385588844882705</v>
      </c>
      <c r="H7" s="18">
        <v>-15.120735959307996</v>
      </c>
      <c r="I7" s="1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" customHeight="1" x14ac:dyDescent="0.3">
      <c r="A8" s="11" t="s">
        <v>11</v>
      </c>
      <c r="B8" s="12">
        <v>9520698752.7638035</v>
      </c>
      <c r="C8" s="12">
        <v>11640336467.750942</v>
      </c>
      <c r="D8" s="12">
        <v>11488385262.400692</v>
      </c>
      <c r="E8" s="12">
        <v>16062572891.72971</v>
      </c>
      <c r="F8" s="12">
        <v>8188757034.8571424</v>
      </c>
      <c r="G8" s="13">
        <v>39.815757609552563</v>
      </c>
      <c r="H8" s="13">
        <v>-49.019642805335586</v>
      </c>
      <c r="I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21" customHeight="1" x14ac:dyDescent="0.3">
      <c r="A9" s="16" t="s">
        <v>12</v>
      </c>
      <c r="B9" s="17">
        <v>4597243134.3714323</v>
      </c>
      <c r="C9" s="17">
        <v>3396759634.063375</v>
      </c>
      <c r="D9" s="17">
        <v>4390740884.274333</v>
      </c>
      <c r="E9" s="17">
        <v>11168873950.398266</v>
      </c>
      <c r="F9" s="17">
        <v>14464043025.6</v>
      </c>
      <c r="G9" s="18">
        <v>154.37333344812419</v>
      </c>
      <c r="H9" s="18">
        <v>29.503144988794805</v>
      </c>
      <c r="I9" s="1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1" customHeight="1" x14ac:dyDescent="0.3">
      <c r="A10" s="11" t="s">
        <v>13</v>
      </c>
      <c r="B10" s="12">
        <v>46234093901.248489</v>
      </c>
      <c r="C10" s="12">
        <v>57759233135.664322</v>
      </c>
      <c r="D10" s="12">
        <v>52765363694.042107</v>
      </c>
      <c r="E10" s="12">
        <v>79590923211.912628</v>
      </c>
      <c r="F10" s="12">
        <v>108124912218.83334</v>
      </c>
      <c r="G10" s="13">
        <v>50.839334062809606</v>
      </c>
      <c r="H10" s="13">
        <v>35.850807925607711</v>
      </c>
      <c r="I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" customHeight="1" x14ac:dyDescent="0.3">
      <c r="A11" s="16" t="s">
        <v>14</v>
      </c>
      <c r="B11" s="17">
        <v>94931700492.970734</v>
      </c>
      <c r="C11" s="17">
        <v>102582080686.17589</v>
      </c>
      <c r="D11" s="17">
        <v>121510203972.71286</v>
      </c>
      <c r="E11" s="17">
        <v>121457455987.74849</v>
      </c>
      <c r="F11" s="17">
        <v>121848024208.99997</v>
      </c>
      <c r="G11" s="18">
        <v>-4.3410333650839572E-2</v>
      </c>
      <c r="H11" s="18">
        <v>0.3215679252255077</v>
      </c>
      <c r="I11" s="1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21" customHeight="1" x14ac:dyDescent="0.3">
      <c r="A12" s="11" t="s">
        <v>15</v>
      </c>
      <c r="B12" s="12">
        <v>14430760149.895403</v>
      </c>
      <c r="C12" s="12">
        <v>15891259002.13578</v>
      </c>
      <c r="D12" s="12">
        <v>15973891709.86212</v>
      </c>
      <c r="E12" s="12">
        <v>14948071140.6492</v>
      </c>
      <c r="F12" s="12">
        <v>15447138701.433336</v>
      </c>
      <c r="G12" s="13">
        <v>-6.4218575400732725</v>
      </c>
      <c r="H12" s="13">
        <v>3.3386753119403645</v>
      </c>
      <c r="I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21" customHeight="1" x14ac:dyDescent="0.3">
      <c r="A13" s="16" t="s">
        <v>16</v>
      </c>
      <c r="B13" s="17">
        <v>18725263638.680882</v>
      </c>
      <c r="C13" s="17">
        <v>17997526972.326286</v>
      </c>
      <c r="D13" s="17">
        <v>22067656260.951202</v>
      </c>
      <c r="E13" s="17">
        <v>28568739968.505909</v>
      </c>
      <c r="F13" s="17">
        <v>34200694555.479309</v>
      </c>
      <c r="G13" s="18">
        <v>29.459783271404305</v>
      </c>
      <c r="H13" s="18">
        <v>19.713696134943469</v>
      </c>
      <c r="I13" s="1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21" customHeight="1" x14ac:dyDescent="0.3">
      <c r="A14" s="11" t="s">
        <v>17</v>
      </c>
      <c r="B14" s="12">
        <v>99175971.960766211</v>
      </c>
      <c r="C14" s="12">
        <v>128671274.75516722</v>
      </c>
      <c r="D14" s="12">
        <v>110000857.29662849</v>
      </c>
      <c r="E14" s="12">
        <v>124349620.05985147</v>
      </c>
      <c r="F14" s="12">
        <v>171340216.66666666</v>
      </c>
      <c r="G14" s="13">
        <v>13.044228123177337</v>
      </c>
      <c r="H14" s="13">
        <v>37.789095442509478</v>
      </c>
      <c r="I14" s="1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1" customHeight="1" x14ac:dyDescent="0.3">
      <c r="A15" s="16" t="s">
        <v>18</v>
      </c>
      <c r="B15" s="17">
        <v>12740510130.074715</v>
      </c>
      <c r="C15" s="17">
        <v>15033068062.189898</v>
      </c>
      <c r="D15" s="17">
        <v>21620382692.396194</v>
      </c>
      <c r="E15" s="17">
        <v>19622342004.458611</v>
      </c>
      <c r="F15" s="17">
        <v>18905181644.979668</v>
      </c>
      <c r="G15" s="18">
        <v>-9.2414677222169885</v>
      </c>
      <c r="H15" s="18">
        <v>-3.6548153085701474</v>
      </c>
      <c r="I15" s="1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1" customHeight="1" x14ac:dyDescent="0.3">
      <c r="A16" s="11" t="s">
        <v>19</v>
      </c>
      <c r="B16" s="12">
        <v>136702057801.40411</v>
      </c>
      <c r="C16" s="12">
        <v>153605196569.66379</v>
      </c>
      <c r="D16" s="12">
        <v>151770471560.26559</v>
      </c>
      <c r="E16" s="12">
        <v>125814201392.88287</v>
      </c>
      <c r="F16" s="12">
        <v>140891521757.21744</v>
      </c>
      <c r="G16" s="13">
        <v>-17.102318982435204</v>
      </c>
      <c r="H16" s="13">
        <v>11.983798488099339</v>
      </c>
      <c r="I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1" customHeight="1" x14ac:dyDescent="0.3">
      <c r="A17" s="16" t="s">
        <v>20</v>
      </c>
      <c r="B17" s="17">
        <v>397245682365.17413</v>
      </c>
      <c r="C17" s="17">
        <v>349427781565.7948</v>
      </c>
      <c r="D17" s="17">
        <v>357747077347.82776</v>
      </c>
      <c r="E17" s="17">
        <v>300878556962.20221</v>
      </c>
      <c r="F17" s="17">
        <v>360794066041.53333</v>
      </c>
      <c r="G17" s="18">
        <v>-15.896292097540698</v>
      </c>
      <c r="H17" s="18">
        <v>19.913519156786563</v>
      </c>
      <c r="I17" s="1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1" customHeight="1" x14ac:dyDescent="0.3">
      <c r="A18" s="11" t="s">
        <v>21</v>
      </c>
      <c r="B18" s="12">
        <v>12559012160.008038</v>
      </c>
      <c r="C18" s="12">
        <v>15470886322.210674</v>
      </c>
      <c r="D18" s="12">
        <v>19059428194.547935</v>
      </c>
      <c r="E18" s="12">
        <v>20684749216.535248</v>
      </c>
      <c r="F18" s="12">
        <v>15091693775.300167</v>
      </c>
      <c r="G18" s="13">
        <v>8.527648392160291</v>
      </c>
      <c r="H18" s="13">
        <v>-27.039512941080424</v>
      </c>
      <c r="I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1" customHeight="1" x14ac:dyDescent="0.3">
      <c r="A19" s="16" t="s">
        <v>22</v>
      </c>
      <c r="B19" s="17">
        <v>13559397864.226599</v>
      </c>
      <c r="C19" s="17">
        <v>19082874731.448368</v>
      </c>
      <c r="D19" s="17">
        <v>11127692390.296072</v>
      </c>
      <c r="E19" s="17">
        <v>10611935283.401197</v>
      </c>
      <c r="F19" s="17">
        <v>10454187905.040003</v>
      </c>
      <c r="G19" s="18">
        <v>-4.6348972347999284</v>
      </c>
      <c r="H19" s="18">
        <v>-1.4865090499367906</v>
      </c>
      <c r="I19" s="1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1" customHeight="1" x14ac:dyDescent="0.3">
      <c r="A20" s="11" t="s">
        <v>23</v>
      </c>
      <c r="B20" s="12">
        <v>7371691211.4980097</v>
      </c>
      <c r="C20" s="12">
        <v>6730935072.4433832</v>
      </c>
      <c r="D20" s="12">
        <v>8155355820.2548409</v>
      </c>
      <c r="E20" s="12">
        <v>11288379924.713783</v>
      </c>
      <c r="F20" s="12">
        <v>11735407034.999998</v>
      </c>
      <c r="G20" s="13">
        <v>38.416767747615467</v>
      </c>
      <c r="H20" s="13">
        <v>3.9600643605867125</v>
      </c>
      <c r="I20" s="14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1" customHeight="1" thickBot="1" x14ac:dyDescent="0.35">
      <c r="A21" s="20" t="s">
        <v>24</v>
      </c>
      <c r="B21" s="21">
        <v>837267273030.14673</v>
      </c>
      <c r="C21" s="21">
        <v>841984920762.50232</v>
      </c>
      <c r="D21" s="21">
        <v>875367130568.99109</v>
      </c>
      <c r="E21" s="21">
        <v>847105868494.53784</v>
      </c>
      <c r="F21" s="21">
        <v>941836169498.2052</v>
      </c>
      <c r="G21" s="22">
        <v>-3.2285039142471939</v>
      </c>
      <c r="H21" s="22">
        <v>11.182817228266927</v>
      </c>
      <c r="I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21" customHeight="1" thickTop="1" x14ac:dyDescent="0.3">
      <c r="A22" s="11" t="s">
        <v>25</v>
      </c>
      <c r="B22" s="12">
        <v>163375579959.03192</v>
      </c>
      <c r="C22" s="12">
        <v>159420220068.54031</v>
      </c>
      <c r="D22" s="12">
        <v>152199267148.41058</v>
      </c>
      <c r="E22" s="12">
        <v>169138376474.0889</v>
      </c>
      <c r="F22" s="12">
        <v>205441228320.43851</v>
      </c>
      <c r="G22" s="13">
        <v>11.129560373744019</v>
      </c>
      <c r="H22" s="13">
        <v>21.46340328146108</v>
      </c>
      <c r="I22" s="14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21" customHeight="1" x14ac:dyDescent="0.3">
      <c r="A23" s="16" t="s">
        <v>26</v>
      </c>
      <c r="B23" s="17">
        <v>48266880060.740356</v>
      </c>
      <c r="C23" s="17">
        <v>42114502864.659416</v>
      </c>
      <c r="D23" s="17">
        <v>48184077417.560303</v>
      </c>
      <c r="E23" s="17">
        <v>56159386352.439247</v>
      </c>
      <c r="F23" s="17">
        <v>66178252488.476799</v>
      </c>
      <c r="G23" s="18">
        <v>16.551751869741938</v>
      </c>
      <c r="H23" s="18">
        <v>17.840056287585114</v>
      </c>
      <c r="I23" s="1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1" customHeight="1" x14ac:dyDescent="0.3">
      <c r="A24" s="11" t="s">
        <v>27</v>
      </c>
      <c r="B24" s="12">
        <v>102945754636.58408</v>
      </c>
      <c r="C24" s="12">
        <v>100338135917.63525</v>
      </c>
      <c r="D24" s="12">
        <v>96954039397.255035</v>
      </c>
      <c r="E24" s="12">
        <v>105971501423.94078</v>
      </c>
      <c r="F24" s="12">
        <v>110985393706.72</v>
      </c>
      <c r="G24" s="13">
        <v>9.3007594967116525</v>
      </c>
      <c r="H24" s="13">
        <v>4.7313591063705474</v>
      </c>
      <c r="I24" s="1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1" customHeight="1" x14ac:dyDescent="0.3">
      <c r="A25" s="16" t="s">
        <v>28</v>
      </c>
      <c r="B25" s="17">
        <v>55541778789.528313</v>
      </c>
      <c r="C25" s="17">
        <v>60640470435.847481</v>
      </c>
      <c r="D25" s="17">
        <v>68190382915.113403</v>
      </c>
      <c r="E25" s="17">
        <v>67803349661.192307</v>
      </c>
      <c r="F25" s="17">
        <v>69720952469.999985</v>
      </c>
      <c r="G25" s="18">
        <v>-0.56757747555530313</v>
      </c>
      <c r="H25" s="18">
        <v>2.8281830003823893</v>
      </c>
      <c r="I25" s="1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1" customHeight="1" x14ac:dyDescent="0.3">
      <c r="A26" s="11" t="s">
        <v>29</v>
      </c>
      <c r="B26" s="12">
        <v>19453559140.164566</v>
      </c>
      <c r="C26" s="12">
        <v>21584339934.429722</v>
      </c>
      <c r="D26" s="12">
        <v>26596534662.935425</v>
      </c>
      <c r="E26" s="12">
        <v>26172820697.293491</v>
      </c>
      <c r="F26" s="12">
        <v>24815940837.85714</v>
      </c>
      <c r="G26" s="13">
        <v>-1.5931171899338237</v>
      </c>
      <c r="H26" s="13">
        <v>-5.1843088489757827</v>
      </c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1" customHeight="1" thickBot="1" x14ac:dyDescent="0.35">
      <c r="A27" s="20" t="s">
        <v>30</v>
      </c>
      <c r="B27" s="21">
        <v>389583552586.04919</v>
      </c>
      <c r="C27" s="21">
        <v>384097669221.11218</v>
      </c>
      <c r="D27" s="21">
        <v>392124301541.27478</v>
      </c>
      <c r="E27" s="21">
        <v>425245434608.95477</v>
      </c>
      <c r="F27" s="21">
        <v>477141767823.49243</v>
      </c>
      <c r="G27" s="22">
        <v>8.44659026168355</v>
      </c>
      <c r="H27" s="22">
        <v>12.20385428999613</v>
      </c>
      <c r="I27" s="23"/>
      <c r="J27" s="10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0"/>
    </row>
    <row r="28" spans="1:22" ht="21" customHeight="1" thickTop="1" thickBot="1" x14ac:dyDescent="0.35">
      <c r="A28" s="24" t="s">
        <v>31</v>
      </c>
      <c r="B28" s="25">
        <v>1226850825616.1958</v>
      </c>
      <c r="C28" s="25">
        <v>1226082589983.6145</v>
      </c>
      <c r="D28" s="25">
        <v>1267491432110.2659</v>
      </c>
      <c r="E28" s="25">
        <v>1272351303103.4927</v>
      </c>
      <c r="F28" s="25">
        <v>1418977937321.6978</v>
      </c>
      <c r="G28" s="26">
        <v>0.38342436643816757</v>
      </c>
      <c r="H28" s="26">
        <v>11.524068381158292</v>
      </c>
      <c r="I28" s="27"/>
      <c r="J28" s="28"/>
      <c r="K28" s="10"/>
      <c r="L28" s="15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s="30" customFormat="1" ht="25.5" customHeight="1" thickTop="1" x14ac:dyDescent="0.2">
      <c r="A29" s="142" t="s">
        <v>128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</row>
    <row r="30" spans="1:22" s="30" customFormat="1" ht="16.5" customHeight="1" x14ac:dyDescent="0.2">
      <c r="A30" s="142" t="s">
        <v>129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</row>
    <row r="31" spans="1:22" s="30" customFormat="1" ht="33.75" customHeight="1" x14ac:dyDescent="0.2">
      <c r="A31" s="142" t="s">
        <v>122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</row>
    <row r="32" spans="1:22" s="2" customFormat="1" ht="29.25" customHeight="1" x14ac:dyDescent="0.25">
      <c r="A32" s="145" t="s">
        <v>32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</row>
    <row r="33" spans="1:22" s="2" customFormat="1" ht="14.25" customHeight="1" x14ac:dyDescent="0.25">
      <c r="A33" s="142" t="s">
        <v>33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</row>
    <row r="34" spans="1:22" s="2" customFormat="1" ht="14.25" x14ac:dyDescent="0.25">
      <c r="A34" s="143" t="s">
        <v>34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</row>
    <row r="35" spans="1:22" s="2" customFormat="1" ht="14.25" x14ac:dyDescent="0.25">
      <c r="A35" s="30" t="s">
        <v>130</v>
      </c>
      <c r="B35" s="30"/>
      <c r="C35" s="30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</row>
    <row r="36" spans="1:22" s="2" customFormat="1" ht="14.25" x14ac:dyDescent="0.25">
      <c r="A36" s="30" t="s">
        <v>131</v>
      </c>
      <c r="B36" s="30"/>
      <c r="C36" s="30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</row>
    <row r="37" spans="1:22" s="2" customFormat="1" ht="14.25" x14ac:dyDescent="0.25">
      <c r="A37" s="30" t="s">
        <v>135</v>
      </c>
      <c r="B37" s="131"/>
      <c r="C37" s="30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</row>
    <row r="38" spans="1:22" s="2" customFormat="1" ht="14.25" x14ac:dyDescent="0.25">
      <c r="A38" s="131" t="s">
        <v>35</v>
      </c>
      <c r="B38" s="131"/>
      <c r="C38" s="30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</row>
    <row r="39" spans="1:22" s="2" customFormat="1" ht="14.25" x14ac:dyDescent="0.25">
      <c r="A39" s="131" t="s">
        <v>36</v>
      </c>
      <c r="B39" s="131"/>
      <c r="C39" s="30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</row>
    <row r="40" spans="1:22" s="2" customFormat="1" ht="14.25" x14ac:dyDescent="0.25">
      <c r="A40" s="131" t="s">
        <v>123</v>
      </c>
      <c r="B40" s="131"/>
      <c r="C40" s="30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</row>
    <row r="41" spans="1:22" ht="17.25" customHeight="1" x14ac:dyDescent="0.3">
      <c r="A41" s="142" t="s">
        <v>37</v>
      </c>
      <c r="B41" s="142"/>
    </row>
  </sheetData>
  <mergeCells count="7">
    <mergeCell ref="A33:V33"/>
    <mergeCell ref="A34:U34"/>
    <mergeCell ref="A41:B41"/>
    <mergeCell ref="A29:V29"/>
    <mergeCell ref="A30:V30"/>
    <mergeCell ref="A31:V31"/>
    <mergeCell ref="A32:V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4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2FA7DE0-318B-40ED-B5C0-0340D21669C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G4</xm:sqref>
        </x14:conditionalFormatting>
        <x14:conditionalFormatting xmlns:xm="http://schemas.microsoft.com/office/excel/2006/main">
          <x14:cfRule type="iconSet" priority="34" id="{FF45A485-9BE3-4BFD-9345-DEE78D7FFD2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G5:G11 G21:G28</xm:sqref>
        </x14:conditionalFormatting>
        <x14:conditionalFormatting xmlns:xm="http://schemas.microsoft.com/office/excel/2006/main">
          <x14:cfRule type="iconSet" priority="1" id="{6EA7A9A6-68EC-40D8-B3D6-946E746377D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G12:G20</xm:sqref>
        </x14:conditionalFormatting>
        <x14:conditionalFormatting xmlns:xm="http://schemas.microsoft.com/office/excel/2006/main">
          <x14:cfRule type="iconSet" priority="4" id="{01DAE967-EA37-449D-ABBD-5D173A0C2BA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H4</xm:sqref>
        </x14:conditionalFormatting>
        <x14:conditionalFormatting xmlns:xm="http://schemas.microsoft.com/office/excel/2006/main">
          <x14:cfRule type="iconSet" priority="36" id="{E8A45179-22B6-4C31-8133-D3722E1C682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H5:H11 H21:H28</xm:sqref>
        </x14:conditionalFormatting>
        <x14:conditionalFormatting xmlns:xm="http://schemas.microsoft.com/office/excel/2006/main">
          <x14:cfRule type="iconSet" priority="2" id="{FE888E44-EB0B-4458-9915-89CEEB29D0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H12:H20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VBP!B4:D4</xm:f>
              <xm:sqref>I4</xm:sqref>
            </x14:sparkline>
            <x14:sparkline>
              <xm:f>VBP!B5:D5</xm:f>
              <xm:sqref>I5</xm:sqref>
            </x14:sparkline>
            <x14:sparkline>
              <xm:f>VBP!B6:D6</xm:f>
              <xm:sqref>I6</xm:sqref>
            </x14:sparkline>
            <x14:sparkline>
              <xm:f>VBP!B7:D7</xm:f>
              <xm:sqref>I7</xm:sqref>
            </x14:sparkline>
            <x14:sparkline>
              <xm:f>VBP!B8:D8</xm:f>
              <xm:sqref>I8</xm:sqref>
            </x14:sparkline>
            <x14:sparkline>
              <xm:f>VBP!B9:D9</xm:f>
              <xm:sqref>I9</xm:sqref>
            </x14:sparkline>
            <x14:sparkline>
              <xm:f>VBP!B10:D10</xm:f>
              <xm:sqref>I10</xm:sqref>
            </x14:sparkline>
            <x14:sparkline>
              <xm:f>VBP!B11:D11</xm:f>
              <xm:sqref>I11</xm:sqref>
            </x14:sparkline>
            <x14:sparkline>
              <xm:f>VBP!B12:D12</xm:f>
              <xm:sqref>I12</xm:sqref>
            </x14:sparkline>
            <x14:sparkline>
              <xm:f>VBP!B13:D13</xm:f>
              <xm:sqref>I13</xm:sqref>
            </x14:sparkline>
            <x14:sparkline>
              <xm:f>VBP!B14:D14</xm:f>
              <xm:sqref>I14</xm:sqref>
            </x14:sparkline>
            <x14:sparkline>
              <xm:f>VBP!B15:D15</xm:f>
              <xm:sqref>I15</xm:sqref>
            </x14:sparkline>
            <x14:sparkline>
              <xm:f>VBP!B16:D16</xm:f>
              <xm:sqref>I16</xm:sqref>
            </x14:sparkline>
            <x14:sparkline>
              <xm:f>VBP!B17:D17</xm:f>
              <xm:sqref>I17</xm:sqref>
            </x14:sparkline>
            <x14:sparkline>
              <xm:f>VBP!B18:D18</xm:f>
              <xm:sqref>I18</xm:sqref>
            </x14:sparkline>
            <x14:sparkline>
              <xm:f>VBP!B19:D19</xm:f>
              <xm:sqref>I19</xm:sqref>
            </x14:sparkline>
            <x14:sparkline>
              <xm:f>VBP!B20:D20</xm:f>
              <xm:sqref>I20</xm:sqref>
            </x14:sparkline>
            <x14:sparkline>
              <xm:f>VBP!B21:D21</xm:f>
              <xm:sqref>I21</xm:sqref>
            </x14:sparkline>
            <x14:sparkline>
              <xm:f>VBP!B22:D22</xm:f>
              <xm:sqref>I22</xm:sqref>
            </x14:sparkline>
            <x14:sparkline>
              <xm:f>VBP!B23:D23</xm:f>
              <xm:sqref>I23</xm:sqref>
            </x14:sparkline>
            <x14:sparkline>
              <xm:f>VBP!B24:D24</xm:f>
              <xm:sqref>I24</xm:sqref>
            </x14:sparkline>
            <x14:sparkline>
              <xm:f>VBP!B25:D25</xm:f>
              <xm:sqref>I25</xm:sqref>
            </x14:sparkline>
            <x14:sparkline>
              <xm:f>VBP!B26:D26</xm:f>
              <xm:sqref>I26</xm:sqref>
            </x14:sparkline>
            <x14:sparkline>
              <xm:f>VBP!B27:D27</xm:f>
              <xm:sqref>I27</xm:sqref>
            </x14:sparkline>
            <x14:sparkline>
              <xm:f>VBP!B28:D28</xm:f>
              <xm:sqref>I28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7"/>
  <sheetViews>
    <sheetView showGridLines="0" zoomScale="70" zoomScaleNormal="70" workbookViewId="0">
      <selection activeCell="A4" sqref="A4"/>
    </sheetView>
  </sheetViews>
  <sheetFormatPr defaultColWidth="8.85546875" defaultRowHeight="17.25" x14ac:dyDescent="0.3"/>
  <cols>
    <col min="1" max="1" width="22.28515625" style="3" customWidth="1"/>
    <col min="2" max="32" width="8.28515625" style="3" bestFit="1" customWidth="1"/>
    <col min="33" max="38" width="10.140625" style="3" bestFit="1" customWidth="1"/>
    <col min="39" max="41" width="13.5703125" style="122" customWidth="1"/>
    <col min="42" max="16384" width="8.85546875" style="3"/>
  </cols>
  <sheetData>
    <row r="1" spans="1:41" x14ac:dyDescent="0.3">
      <c r="A1" s="29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41" x14ac:dyDescent="0.3">
      <c r="A2" s="146" t="s">
        <v>38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45"/>
      <c r="AK2" s="45"/>
      <c r="AL2" s="45"/>
    </row>
    <row r="3" spans="1:41" s="10" customFormat="1" ht="33" customHeight="1" thickBot="1" x14ac:dyDescent="0.35">
      <c r="A3" s="6"/>
      <c r="B3" s="33" t="s">
        <v>39</v>
      </c>
      <c r="C3" s="33" t="s">
        <v>40</v>
      </c>
      <c r="D3" s="33" t="s">
        <v>41</v>
      </c>
      <c r="E3" s="33" t="s">
        <v>42</v>
      </c>
      <c r="F3" s="33" t="s">
        <v>43</v>
      </c>
      <c r="G3" s="33" t="s">
        <v>44</v>
      </c>
      <c r="H3" s="33" t="s">
        <v>45</v>
      </c>
      <c r="I3" s="33" t="s">
        <v>46</v>
      </c>
      <c r="J3" s="33" t="s">
        <v>47</v>
      </c>
      <c r="K3" s="33" t="s">
        <v>48</v>
      </c>
      <c r="L3" s="33" t="s">
        <v>49</v>
      </c>
      <c r="M3" s="33" t="s">
        <v>50</v>
      </c>
      <c r="N3" s="33" t="s">
        <v>51</v>
      </c>
      <c r="O3" s="33" t="s">
        <v>52</v>
      </c>
      <c r="P3" s="33" t="s">
        <v>53</v>
      </c>
      <c r="Q3" s="33" t="s">
        <v>54</v>
      </c>
      <c r="R3" s="33" t="s">
        <v>55</v>
      </c>
      <c r="S3" s="33" t="s">
        <v>56</v>
      </c>
      <c r="T3" s="33" t="s">
        <v>57</v>
      </c>
      <c r="U3" s="33" t="s">
        <v>58</v>
      </c>
      <c r="V3" s="33" t="s">
        <v>59</v>
      </c>
      <c r="W3" s="33" t="s">
        <v>60</v>
      </c>
      <c r="X3" s="33" t="s">
        <v>61</v>
      </c>
      <c r="Y3" s="33" t="s">
        <v>62</v>
      </c>
      <c r="Z3" s="33" t="s">
        <v>63</v>
      </c>
      <c r="AA3" s="33" t="s">
        <v>64</v>
      </c>
      <c r="AB3" s="33" t="s">
        <v>65</v>
      </c>
      <c r="AC3" s="34" t="s">
        <v>66</v>
      </c>
      <c r="AD3" s="34" t="s">
        <v>67</v>
      </c>
      <c r="AE3" s="34" t="s">
        <v>68</v>
      </c>
      <c r="AF3" s="34" t="s">
        <v>69</v>
      </c>
      <c r="AG3" s="34" t="s">
        <v>70</v>
      </c>
      <c r="AH3" s="34" t="s">
        <v>71</v>
      </c>
      <c r="AI3" s="34">
        <v>2022</v>
      </c>
      <c r="AJ3" s="34" t="s">
        <v>72</v>
      </c>
      <c r="AK3" s="34" t="s">
        <v>4</v>
      </c>
      <c r="AL3" s="34" t="s">
        <v>119</v>
      </c>
      <c r="AM3" s="129" t="s">
        <v>73</v>
      </c>
      <c r="AN3" s="129" t="s">
        <v>74</v>
      </c>
      <c r="AO3" s="129" t="s">
        <v>120</v>
      </c>
    </row>
    <row r="4" spans="1:41" s="15" customFormat="1" ht="19.5" customHeight="1" thickTop="1" x14ac:dyDescent="0.3">
      <c r="A4" s="11" t="s">
        <v>7</v>
      </c>
      <c r="B4" s="35">
        <v>10.215013692255418</v>
      </c>
      <c r="C4" s="35">
        <v>8.4813191591211474</v>
      </c>
      <c r="D4" s="35">
        <v>9.5460015216994094</v>
      </c>
      <c r="E4" s="35">
        <v>8.3293129232022736</v>
      </c>
      <c r="F4" s="35">
        <v>5.0458104135004849</v>
      </c>
      <c r="G4" s="35">
        <v>6.5066151034772535</v>
      </c>
      <c r="H4" s="35">
        <v>6.1120080557676877</v>
      </c>
      <c r="I4" s="35">
        <v>4.2078162702784594</v>
      </c>
      <c r="J4" s="35">
        <v>3.9263487481808883</v>
      </c>
      <c r="K4" s="35">
        <v>4.7627197674613644</v>
      </c>
      <c r="L4" s="35">
        <v>6.1595967260606983</v>
      </c>
      <c r="M4" s="35">
        <v>8.1459587230715762</v>
      </c>
      <c r="N4" s="35">
        <v>9.2890156262975001</v>
      </c>
      <c r="O4" s="35">
        <v>7.7251683435489209</v>
      </c>
      <c r="P4" s="35">
        <v>10.094029787613268</v>
      </c>
      <c r="Q4" s="35">
        <v>17.986132543809511</v>
      </c>
      <c r="R4" s="35">
        <v>12.985704172774804</v>
      </c>
      <c r="S4" s="35">
        <v>9.5669741535176112</v>
      </c>
      <c r="T4" s="35">
        <v>13.243527453641267</v>
      </c>
      <c r="U4" s="35">
        <v>12.424750308633099</v>
      </c>
      <c r="V4" s="35">
        <v>8.5654473598103138</v>
      </c>
      <c r="W4" s="35">
        <v>8.2868969852350816</v>
      </c>
      <c r="X4" s="35">
        <v>21.655812614219869</v>
      </c>
      <c r="Y4" s="35">
        <v>26.974744221977026</v>
      </c>
      <c r="Z4" s="35">
        <v>19.184568605557903</v>
      </c>
      <c r="AA4" s="35">
        <v>24.665462042040673</v>
      </c>
      <c r="AB4" s="35">
        <v>25.238506282215258</v>
      </c>
      <c r="AC4" s="36">
        <v>22.913896874535848</v>
      </c>
      <c r="AD4" s="36">
        <v>15.726394281933077</v>
      </c>
      <c r="AE4" s="36">
        <v>23.421448461334958</v>
      </c>
      <c r="AF4" s="36">
        <v>26.937325423294055</v>
      </c>
      <c r="AG4" s="36">
        <v>29.089680060866328</v>
      </c>
      <c r="AH4" s="36">
        <v>29.964857153003098</v>
      </c>
      <c r="AI4" s="36">
        <v>35.754798952386267</v>
      </c>
      <c r="AJ4" s="36">
        <v>32.475002451667997</v>
      </c>
      <c r="AK4" s="36">
        <v>34.355274817067638</v>
      </c>
      <c r="AL4" s="36">
        <v>33.349072249999999</v>
      </c>
      <c r="AM4" s="123">
        <v>-9.1730245919880216E-2</v>
      </c>
      <c r="AN4" s="123">
        <v>5.7899067696700612E-2</v>
      </c>
      <c r="AO4" s="123">
        <v>-2.9288153636534475E-2</v>
      </c>
    </row>
    <row r="5" spans="1:41" s="15" customFormat="1" ht="19.5" customHeight="1" x14ac:dyDescent="0.3">
      <c r="A5" s="16" t="s">
        <v>8</v>
      </c>
      <c r="B5" s="37">
        <v>0.78073132802701084</v>
      </c>
      <c r="C5" s="37">
        <v>0.62823921881327527</v>
      </c>
      <c r="D5" s="37">
        <v>0.70240161173390903</v>
      </c>
      <c r="E5" s="37">
        <v>0.56822921935534942</v>
      </c>
      <c r="F5" s="37">
        <v>0.69774231155659294</v>
      </c>
      <c r="G5" s="37">
        <v>0.65209089381429897</v>
      </c>
      <c r="H5" s="37">
        <v>0.58305910077889844</v>
      </c>
      <c r="I5" s="37">
        <v>0.55738565488073388</v>
      </c>
      <c r="J5" s="37">
        <v>0.5854702146269003</v>
      </c>
      <c r="K5" s="37">
        <v>0.62897480206674061</v>
      </c>
      <c r="L5" s="37">
        <v>0.7710042037714615</v>
      </c>
      <c r="M5" s="37">
        <v>0.8573856946460422</v>
      </c>
      <c r="N5" s="37">
        <v>0.61476454471373843</v>
      </c>
      <c r="O5" s="37">
        <v>0.77930413852467861</v>
      </c>
      <c r="P5" s="37">
        <v>0.90825503313716494</v>
      </c>
      <c r="Q5" s="37">
        <v>1.0473780445103751</v>
      </c>
      <c r="R5" s="37">
        <v>1.099686951558142</v>
      </c>
      <c r="S5" s="37">
        <v>0.83360834408446816</v>
      </c>
      <c r="T5" s="37">
        <v>1.0513368952630282</v>
      </c>
      <c r="U5" s="37">
        <v>1.5000292624837119</v>
      </c>
      <c r="V5" s="37">
        <v>0.9206356991096315</v>
      </c>
      <c r="W5" s="37">
        <v>0.88688159361818608</v>
      </c>
      <c r="X5" s="37">
        <v>1.216142055349394</v>
      </c>
      <c r="Y5" s="37">
        <v>1.3631019050329249</v>
      </c>
      <c r="Z5" s="37">
        <v>1.6787043178434611</v>
      </c>
      <c r="AA5" s="37">
        <v>1.8955642774489465</v>
      </c>
      <c r="AB5" s="37">
        <v>2.0282814719573716</v>
      </c>
      <c r="AC5" s="38">
        <v>2.2783699779782332</v>
      </c>
      <c r="AD5" s="38">
        <v>2.3501900364068731</v>
      </c>
      <c r="AE5" s="38">
        <v>2.1241036465136487</v>
      </c>
      <c r="AF5" s="38">
        <v>2.4710204554677273</v>
      </c>
      <c r="AG5" s="38">
        <v>3.4103996811397335</v>
      </c>
      <c r="AH5" s="38">
        <v>3.1226022885691349</v>
      </c>
      <c r="AI5" s="38">
        <v>3.6721103771563057</v>
      </c>
      <c r="AJ5" s="38">
        <v>4.6763052377695198</v>
      </c>
      <c r="AK5" s="38">
        <v>4.4110640351452002</v>
      </c>
      <c r="AL5" s="38">
        <v>5.2793896519999999</v>
      </c>
      <c r="AM5" s="123">
        <v>0.27346532578654825</v>
      </c>
      <c r="AN5" s="123">
        <v>-5.6720250098736713E-2</v>
      </c>
      <c r="AO5" s="123">
        <v>0.19685173689078317</v>
      </c>
    </row>
    <row r="6" spans="1:41" s="15" customFormat="1" ht="19.5" customHeight="1" x14ac:dyDescent="0.3">
      <c r="A6" s="11" t="s">
        <v>9</v>
      </c>
      <c r="B6" s="35">
        <v>23.560482391471485</v>
      </c>
      <c r="C6" s="35">
        <v>19.183784960851579</v>
      </c>
      <c r="D6" s="35">
        <v>28.085338197267458</v>
      </c>
      <c r="E6" s="35">
        <v>23.711057265045728</v>
      </c>
      <c r="F6" s="35">
        <v>23.901005005771388</v>
      </c>
      <c r="G6" s="35">
        <v>22.761169054269828</v>
      </c>
      <c r="H6" s="35">
        <v>19.942256410302392</v>
      </c>
      <c r="I6" s="35">
        <v>16.184561201298628</v>
      </c>
      <c r="J6" s="35">
        <v>16.111220090961091</v>
      </c>
      <c r="K6" s="35">
        <v>17.910205083064675</v>
      </c>
      <c r="L6" s="35">
        <v>24.203909732236681</v>
      </c>
      <c r="M6" s="35">
        <v>17.685801370952188</v>
      </c>
      <c r="N6" s="35">
        <v>17.304719378507336</v>
      </c>
      <c r="O6" s="35">
        <v>20.732228631909603</v>
      </c>
      <c r="P6" s="35">
        <v>25.054881674221868</v>
      </c>
      <c r="Q6" s="35">
        <v>31.894923151246438</v>
      </c>
      <c r="R6" s="35">
        <v>23.266603828964961</v>
      </c>
      <c r="S6" s="35">
        <v>18.396923187508431</v>
      </c>
      <c r="T6" s="35">
        <v>18.464103049783425</v>
      </c>
      <c r="U6" s="35">
        <v>23.722365576564506</v>
      </c>
      <c r="V6" s="35">
        <v>25.347288453871755</v>
      </c>
      <c r="W6" s="35">
        <v>19.646181390445712</v>
      </c>
      <c r="X6" s="35">
        <v>19.282173931816271</v>
      </c>
      <c r="Y6" s="35">
        <v>17.348738062478535</v>
      </c>
      <c r="Z6" s="35">
        <v>21.051411589099494</v>
      </c>
      <c r="AA6" s="35">
        <v>21.596299923441645</v>
      </c>
      <c r="AB6" s="35">
        <v>20.097493417771169</v>
      </c>
      <c r="AC6" s="36">
        <v>18.398858119542101</v>
      </c>
      <c r="AD6" s="36">
        <v>20.083385751743126</v>
      </c>
      <c r="AE6" s="36">
        <v>16.734155533973293</v>
      </c>
      <c r="AF6" s="36">
        <v>15.807113874173851</v>
      </c>
      <c r="AG6" s="36">
        <v>21.798467954083556</v>
      </c>
      <c r="AH6" s="36">
        <v>21.82188518545912</v>
      </c>
      <c r="AI6" s="36">
        <v>17.506499489336086</v>
      </c>
      <c r="AJ6" s="36">
        <v>21.693694799301145</v>
      </c>
      <c r="AK6" s="36">
        <v>25.150918030691571</v>
      </c>
      <c r="AL6" s="36">
        <v>23.905403994766658</v>
      </c>
      <c r="AM6" s="123">
        <v>0.23917947231630454</v>
      </c>
      <c r="AN6" s="123">
        <v>0.15936534847451611</v>
      </c>
      <c r="AO6" s="123">
        <v>-4.9521613262983766E-2</v>
      </c>
    </row>
    <row r="7" spans="1:41" s="15" customFormat="1" ht="19.5" customHeight="1" x14ac:dyDescent="0.3">
      <c r="A7" s="16" t="s">
        <v>10</v>
      </c>
      <c r="B7" s="37">
        <v>15.551467455389767</v>
      </c>
      <c r="C7" s="37">
        <v>17.110050539755036</v>
      </c>
      <c r="D7" s="37">
        <v>14.746950992435176</v>
      </c>
      <c r="E7" s="37">
        <v>11.877398176759785</v>
      </c>
      <c r="F7" s="37">
        <v>11.84102806756232</v>
      </c>
      <c r="G7" s="37">
        <v>17.326109876510198</v>
      </c>
      <c r="H7" s="37">
        <v>23.017390498783382</v>
      </c>
      <c r="I7" s="37">
        <v>15.768958770147869</v>
      </c>
      <c r="J7" s="37">
        <v>13.709712190642918</v>
      </c>
      <c r="K7" s="37">
        <v>13.815114167339233</v>
      </c>
      <c r="L7" s="37">
        <v>14.669105935575447</v>
      </c>
      <c r="M7" s="37">
        <v>12.755031295668786</v>
      </c>
      <c r="N7" s="37">
        <v>12.460274842936762</v>
      </c>
      <c r="O7" s="37">
        <v>12.176818100324214</v>
      </c>
      <c r="P7" s="37">
        <v>12.677267619590838</v>
      </c>
      <c r="Q7" s="37">
        <v>12.542237565252925</v>
      </c>
      <c r="R7" s="37">
        <v>12.764509680558616</v>
      </c>
      <c r="S7" s="37">
        <v>13.229008669335869</v>
      </c>
      <c r="T7" s="37">
        <v>13.989977465274414</v>
      </c>
      <c r="U7" s="37">
        <v>14.09878168966207</v>
      </c>
      <c r="V7" s="37">
        <v>13.567733681539016</v>
      </c>
      <c r="W7" s="37">
        <v>15.17790563159684</v>
      </c>
      <c r="X7" s="37">
        <v>16.542409185950522</v>
      </c>
      <c r="Y7" s="37">
        <v>15.591227992717601</v>
      </c>
      <c r="Z7" s="37">
        <v>17.744469145187832</v>
      </c>
      <c r="AA7" s="37">
        <v>18.751039676697921</v>
      </c>
      <c r="AB7" s="37">
        <v>18.368536209318318</v>
      </c>
      <c r="AC7" s="38">
        <v>27.048141598497871</v>
      </c>
      <c r="AD7" s="38">
        <v>19.832982725466071</v>
      </c>
      <c r="AE7" s="38">
        <v>17.17981401257456</v>
      </c>
      <c r="AF7" s="38">
        <v>19.787614319820555</v>
      </c>
      <c r="AG7" s="38">
        <v>15.308992047705649</v>
      </c>
      <c r="AH7" s="38">
        <v>13.640640828838272</v>
      </c>
      <c r="AI7" s="38">
        <v>16.304902447001055</v>
      </c>
      <c r="AJ7" s="38">
        <v>18.735477433124156</v>
      </c>
      <c r="AK7" s="38">
        <v>22.367460056435391</v>
      </c>
      <c r="AL7" s="38">
        <v>18.985335480498112</v>
      </c>
      <c r="AM7" s="123">
        <v>0.14907019493208651</v>
      </c>
      <c r="AN7" s="123">
        <v>0.19385588844882706</v>
      </c>
      <c r="AO7" s="123">
        <v>-0.15120735959307996</v>
      </c>
    </row>
    <row r="8" spans="1:41" s="15" customFormat="1" ht="19.5" customHeight="1" x14ac:dyDescent="0.3">
      <c r="A8" s="11" t="s">
        <v>11</v>
      </c>
      <c r="B8" s="35">
        <v>7.7371002815495347</v>
      </c>
      <c r="C8" s="35">
        <v>9.6615618670112529</v>
      </c>
      <c r="D8" s="35">
        <v>7.1007721910024282</v>
      </c>
      <c r="E8" s="35">
        <v>7.5776446445768482</v>
      </c>
      <c r="F8" s="35">
        <v>5.7566465320679034</v>
      </c>
      <c r="G8" s="35">
        <v>11.311389429173943</v>
      </c>
      <c r="H8" s="35">
        <v>8.5724966180635374</v>
      </c>
      <c r="I8" s="35">
        <v>5.8957205010433817</v>
      </c>
      <c r="J8" s="35">
        <v>7.1301897829544583</v>
      </c>
      <c r="K8" s="35">
        <v>9.1411632834034418</v>
      </c>
      <c r="L8" s="35">
        <v>6.3556665607862994</v>
      </c>
      <c r="M8" s="35">
        <v>6.3150086323762888</v>
      </c>
      <c r="N8" s="35">
        <v>9.2831094649529842</v>
      </c>
      <c r="O8" s="35">
        <v>8.1009877848398872</v>
      </c>
      <c r="P8" s="35">
        <v>7.6702672154231815</v>
      </c>
      <c r="Q8" s="35">
        <v>6.2618398938878448</v>
      </c>
      <c r="R8" s="35">
        <v>7.3106632265359757</v>
      </c>
      <c r="S8" s="35">
        <v>6.8761969280696817</v>
      </c>
      <c r="T8" s="35">
        <v>7.4211172943213146</v>
      </c>
      <c r="U8" s="35">
        <v>7.5357743802905199</v>
      </c>
      <c r="V8" s="35">
        <v>9.3408354531926729</v>
      </c>
      <c r="W8" s="35">
        <v>9.9410851269237863</v>
      </c>
      <c r="X8" s="35">
        <v>8.2048918871437024</v>
      </c>
      <c r="Y8" s="35">
        <v>6.4677975074523006</v>
      </c>
      <c r="Z8" s="35">
        <v>9.6700764518367048</v>
      </c>
      <c r="AA8" s="35">
        <v>11.255974675725676</v>
      </c>
      <c r="AB8" s="35">
        <v>11.122142181182653</v>
      </c>
      <c r="AC8" s="36">
        <v>13.401430644423241</v>
      </c>
      <c r="AD8" s="36">
        <v>7.1921812252932984</v>
      </c>
      <c r="AE8" s="36">
        <v>6.8700636682289007</v>
      </c>
      <c r="AF8" s="36">
        <v>12.855651720336253</v>
      </c>
      <c r="AG8" s="36">
        <v>10.320550053902057</v>
      </c>
      <c r="AH8" s="36">
        <v>9.5206987527638027</v>
      </c>
      <c r="AI8" s="36">
        <v>11.640336467750942</v>
      </c>
      <c r="AJ8" s="36">
        <v>11.488385262400692</v>
      </c>
      <c r="AK8" s="36">
        <v>16.062572891729708</v>
      </c>
      <c r="AL8" s="36">
        <v>8.1887570348571419</v>
      </c>
      <c r="AM8" s="123">
        <v>-1.3053849927038064E-2</v>
      </c>
      <c r="AN8" s="123">
        <v>0.39815757609552538</v>
      </c>
      <c r="AO8" s="123">
        <v>-0.49019642805335584</v>
      </c>
    </row>
    <row r="9" spans="1:41" s="15" customFormat="1" ht="19.5" customHeight="1" x14ac:dyDescent="0.3">
      <c r="A9" s="16" t="s">
        <v>12</v>
      </c>
      <c r="B9" s="37">
        <v>4.7445768369003893</v>
      </c>
      <c r="C9" s="37">
        <v>3.7481625292861871</v>
      </c>
      <c r="D9" s="37">
        <v>4.0376363114597256</v>
      </c>
      <c r="E9" s="37">
        <v>3.7221120361729598</v>
      </c>
      <c r="F9" s="37">
        <v>3.9512056140642695</v>
      </c>
      <c r="G9" s="37">
        <v>3.5308992041123299</v>
      </c>
      <c r="H9" s="37">
        <v>2.994708870848652</v>
      </c>
      <c r="I9" s="37">
        <v>2.4891043921853173</v>
      </c>
      <c r="J9" s="37">
        <v>3.3524423131867356</v>
      </c>
      <c r="K9" s="37">
        <v>3.623148574691065</v>
      </c>
      <c r="L9" s="37">
        <v>2.6523029932723046</v>
      </c>
      <c r="M9" s="37">
        <v>1.9018417502445519</v>
      </c>
      <c r="N9" s="37">
        <v>2.4705745189409312</v>
      </c>
      <c r="O9" s="37">
        <v>4.6712984366996633</v>
      </c>
      <c r="P9" s="37">
        <v>3.8854647545040404</v>
      </c>
      <c r="Q9" s="37">
        <v>3.1861490445797127</v>
      </c>
      <c r="R9" s="37">
        <v>2.6792894347093732</v>
      </c>
      <c r="S9" s="37">
        <v>2.3746730848501039</v>
      </c>
      <c r="T9" s="37">
        <v>2.5268676135999137</v>
      </c>
      <c r="U9" s="37">
        <v>2.8606201128304809</v>
      </c>
      <c r="V9" s="37">
        <v>3.6796552597142385</v>
      </c>
      <c r="W9" s="37">
        <v>3.7081614442877777</v>
      </c>
      <c r="X9" s="37">
        <v>3.1663265318697169</v>
      </c>
      <c r="Y9" s="37">
        <v>2.9226190012219013</v>
      </c>
      <c r="Z9" s="37">
        <v>2.795355643937766</v>
      </c>
      <c r="AA9" s="37">
        <v>2.2800083618546987</v>
      </c>
      <c r="AB9" s="37">
        <v>2.6457811885280611</v>
      </c>
      <c r="AC9" s="38">
        <v>3.4498151239338628</v>
      </c>
      <c r="AD9" s="38">
        <v>2.5113006311582211</v>
      </c>
      <c r="AE9" s="38">
        <v>3.4043824965093057</v>
      </c>
      <c r="AF9" s="38">
        <v>3.5754941632970247</v>
      </c>
      <c r="AG9" s="38">
        <v>4.4908240496027432</v>
      </c>
      <c r="AH9" s="38">
        <v>4.5972431343714319</v>
      </c>
      <c r="AI9" s="38">
        <v>3.396759634063375</v>
      </c>
      <c r="AJ9" s="38">
        <v>4.390740884274333</v>
      </c>
      <c r="AK9" s="38">
        <v>11.168873950398266</v>
      </c>
      <c r="AL9" s="38">
        <v>14.464043025600001</v>
      </c>
      <c r="AM9" s="123">
        <v>0.29262631369117731</v>
      </c>
      <c r="AN9" s="123">
        <v>1.5437333344812423</v>
      </c>
      <c r="AO9" s="123">
        <v>0.29503144988794805</v>
      </c>
    </row>
    <row r="10" spans="1:41" s="15" customFormat="1" ht="19.5" customHeight="1" x14ac:dyDescent="0.3">
      <c r="A10" s="11" t="s">
        <v>13</v>
      </c>
      <c r="B10" s="137" t="s">
        <v>116</v>
      </c>
      <c r="C10" s="137" t="s">
        <v>116</v>
      </c>
      <c r="D10" s="137" t="s">
        <v>116</v>
      </c>
      <c r="E10" s="137" t="s">
        <v>116</v>
      </c>
      <c r="F10" s="137" t="s">
        <v>116</v>
      </c>
      <c r="G10" s="137" t="s">
        <v>116</v>
      </c>
      <c r="H10" s="137" t="s">
        <v>116</v>
      </c>
      <c r="I10" s="137" t="s">
        <v>116</v>
      </c>
      <c r="J10" s="35">
        <v>36.540278468816467</v>
      </c>
      <c r="K10" s="35">
        <v>37.288133394365069</v>
      </c>
      <c r="L10" s="35">
        <v>36.152492999141359</v>
      </c>
      <c r="M10" s="35">
        <v>33.218015914247957</v>
      </c>
      <c r="N10" s="35">
        <v>20.664319955875971</v>
      </c>
      <c r="O10" s="35">
        <v>28.754240997485244</v>
      </c>
      <c r="P10" s="35">
        <v>23.858734008924532</v>
      </c>
      <c r="Q10" s="35">
        <v>33.82322969652742</v>
      </c>
      <c r="R10" s="35">
        <v>35.848009514477006</v>
      </c>
      <c r="S10" s="35">
        <v>37.729202391723668</v>
      </c>
      <c r="T10" s="35">
        <v>31.642882222737743</v>
      </c>
      <c r="U10" s="35">
        <v>36.490821671270751</v>
      </c>
      <c r="V10" s="35">
        <v>31.615455465634703</v>
      </c>
      <c r="W10" s="35">
        <v>42.146132530544627</v>
      </c>
      <c r="X10" s="35">
        <v>48.741055907858183</v>
      </c>
      <c r="Y10" s="35">
        <v>44.677487894410497</v>
      </c>
      <c r="Z10" s="35">
        <v>31.559960151417268</v>
      </c>
      <c r="AA10" s="35">
        <v>37.804182407836258</v>
      </c>
      <c r="AB10" s="35">
        <v>37.667492362634604</v>
      </c>
      <c r="AC10" s="36">
        <v>44.946654042357729</v>
      </c>
      <c r="AD10" s="36">
        <v>38.346516300198381</v>
      </c>
      <c r="AE10" s="36">
        <v>42.221191844864478</v>
      </c>
      <c r="AF10" s="36">
        <v>31.340531843973899</v>
      </c>
      <c r="AG10" s="36">
        <v>44.803471905550253</v>
      </c>
      <c r="AH10" s="36">
        <v>46.234093901248492</v>
      </c>
      <c r="AI10" s="36">
        <v>57.759233135664324</v>
      </c>
      <c r="AJ10" s="36">
        <v>52.765363694042108</v>
      </c>
      <c r="AK10" s="36">
        <v>79.590923211912624</v>
      </c>
      <c r="AL10" s="36">
        <v>108.12491221883334</v>
      </c>
      <c r="AM10" s="123">
        <v>-8.646010638494217E-2</v>
      </c>
      <c r="AN10" s="123">
        <v>0.50839334062809605</v>
      </c>
      <c r="AO10" s="123">
        <v>0.35850807925607708</v>
      </c>
    </row>
    <row r="11" spans="1:41" s="15" customFormat="1" ht="19.5" customHeight="1" x14ac:dyDescent="0.3">
      <c r="A11" s="16" t="s">
        <v>75</v>
      </c>
      <c r="B11" s="138" t="s">
        <v>116</v>
      </c>
      <c r="C11" s="138" t="s">
        <v>116</v>
      </c>
      <c r="D11" s="138" t="s">
        <v>116</v>
      </c>
      <c r="E11" s="138" t="s">
        <v>116</v>
      </c>
      <c r="F11" s="138" t="s">
        <v>116</v>
      </c>
      <c r="G11" s="138" t="s">
        <v>116</v>
      </c>
      <c r="H11" s="138" t="s">
        <v>116</v>
      </c>
      <c r="I11" s="138" t="s">
        <v>116</v>
      </c>
      <c r="J11" s="37">
        <v>36.540278468816467</v>
      </c>
      <c r="K11" s="37">
        <v>37.288133394365069</v>
      </c>
      <c r="L11" s="37">
        <v>36.152492999141359</v>
      </c>
      <c r="M11" s="37">
        <v>33.218015914247957</v>
      </c>
      <c r="N11" s="37">
        <v>20.664319955875971</v>
      </c>
      <c r="O11" s="37">
        <v>28.754240997485244</v>
      </c>
      <c r="P11" s="37">
        <v>23.858734008924532</v>
      </c>
      <c r="Q11" s="37">
        <v>33.82322969652742</v>
      </c>
      <c r="R11" s="37">
        <v>35.848009514477006</v>
      </c>
      <c r="S11" s="37">
        <v>37.729202391723668</v>
      </c>
      <c r="T11" s="37">
        <v>31.642882222737743</v>
      </c>
      <c r="U11" s="37">
        <v>36.490821671270751</v>
      </c>
      <c r="V11" s="37">
        <v>31.615455465634703</v>
      </c>
      <c r="W11" s="37">
        <v>42.146132530544627</v>
      </c>
      <c r="X11" s="37">
        <v>41.796811324322412</v>
      </c>
      <c r="Y11" s="37">
        <v>36.411103982830923</v>
      </c>
      <c r="Z11" s="37">
        <v>25.615708371281997</v>
      </c>
      <c r="AA11" s="37">
        <v>30.553135066723897</v>
      </c>
      <c r="AB11" s="37">
        <v>30.544251549005889</v>
      </c>
      <c r="AC11" s="37">
        <v>38.805319861129064</v>
      </c>
      <c r="AD11" s="37">
        <v>29.759872700458576</v>
      </c>
      <c r="AE11" s="37">
        <v>33.823504798538686</v>
      </c>
      <c r="AF11" s="37">
        <v>23.963906588197517</v>
      </c>
      <c r="AG11" s="37">
        <v>37.335858042723608</v>
      </c>
      <c r="AH11" s="37">
        <v>34.891351974143511</v>
      </c>
      <c r="AI11" s="37">
        <v>43.940885667589669</v>
      </c>
      <c r="AJ11" s="37">
        <v>40.207614445137445</v>
      </c>
      <c r="AK11" s="37">
        <v>57.63672528829089</v>
      </c>
      <c r="AL11" s="37">
        <v>76.617006205500005</v>
      </c>
      <c r="AM11" s="123">
        <v>-8.4961219277513211E-2</v>
      </c>
      <c r="AN11" s="123">
        <v>0.4334778644213062</v>
      </c>
      <c r="AO11" s="123">
        <v>0.32930880132888163</v>
      </c>
    </row>
    <row r="12" spans="1:41" s="15" customFormat="1" ht="19.5" customHeight="1" x14ac:dyDescent="0.3">
      <c r="A12" s="11" t="s">
        <v>76</v>
      </c>
      <c r="B12" s="137" t="s">
        <v>116</v>
      </c>
      <c r="C12" s="137" t="s">
        <v>116</v>
      </c>
      <c r="D12" s="137" t="s">
        <v>116</v>
      </c>
      <c r="E12" s="137" t="s">
        <v>116</v>
      </c>
      <c r="F12" s="137" t="s">
        <v>116</v>
      </c>
      <c r="G12" s="137" t="s">
        <v>116</v>
      </c>
      <c r="H12" s="137" t="s">
        <v>116</v>
      </c>
      <c r="I12" s="137" t="s">
        <v>116</v>
      </c>
      <c r="J12" s="137" t="s">
        <v>116</v>
      </c>
      <c r="K12" s="137" t="s">
        <v>116</v>
      </c>
      <c r="L12" s="137" t="s">
        <v>116</v>
      </c>
      <c r="M12" s="137" t="s">
        <v>116</v>
      </c>
      <c r="N12" s="137" t="s">
        <v>116</v>
      </c>
      <c r="O12" s="137" t="s">
        <v>116</v>
      </c>
      <c r="P12" s="137" t="s">
        <v>116</v>
      </c>
      <c r="Q12" s="137" t="s">
        <v>116</v>
      </c>
      <c r="R12" s="137" t="s">
        <v>116</v>
      </c>
      <c r="S12" s="137" t="s">
        <v>116</v>
      </c>
      <c r="T12" s="137" t="s">
        <v>116</v>
      </c>
      <c r="U12" s="137" t="s">
        <v>116</v>
      </c>
      <c r="V12" s="137" t="s">
        <v>116</v>
      </c>
      <c r="W12" s="137" t="s">
        <v>116</v>
      </c>
      <c r="X12" s="35">
        <v>6.9442445835357756</v>
      </c>
      <c r="Y12" s="35">
        <v>8.2663839115795756</v>
      </c>
      <c r="Z12" s="35">
        <v>5.9442517801352688</v>
      </c>
      <c r="AA12" s="35">
        <v>7.251047341112363</v>
      </c>
      <c r="AB12" s="35">
        <v>7.1232408136287155</v>
      </c>
      <c r="AC12" s="35">
        <v>6.1413341812286619</v>
      </c>
      <c r="AD12" s="35">
        <v>8.5866435997397996</v>
      </c>
      <c r="AE12" s="35">
        <v>8.397687046325796</v>
      </c>
      <c r="AF12" s="35">
        <v>7.3766252557763812</v>
      </c>
      <c r="AG12" s="35">
        <v>7.4676138628266475</v>
      </c>
      <c r="AH12" s="35">
        <v>11.342741927104985</v>
      </c>
      <c r="AI12" s="35">
        <v>13.818347468074657</v>
      </c>
      <c r="AJ12" s="35">
        <v>12.557749248904665</v>
      </c>
      <c r="AK12" s="35">
        <v>21.954197923621734</v>
      </c>
      <c r="AL12" s="35">
        <v>31.507906013333336</v>
      </c>
      <c r="AM12" s="123">
        <v>-9.1226409097211247E-2</v>
      </c>
      <c r="AN12" s="123">
        <v>0.74825898243960109</v>
      </c>
      <c r="AO12" s="123">
        <v>0.43516543500923066</v>
      </c>
    </row>
    <row r="13" spans="1:41" s="15" customFormat="1" ht="19.5" customHeight="1" x14ac:dyDescent="0.3">
      <c r="A13" s="16" t="s">
        <v>14</v>
      </c>
      <c r="B13" s="37">
        <v>34.919116587145552</v>
      </c>
      <c r="C13" s="37">
        <v>37.371347875755177</v>
      </c>
      <c r="D13" s="37">
        <v>37.422569698444143</v>
      </c>
      <c r="E13" s="37">
        <v>40.079063163023633</v>
      </c>
      <c r="F13" s="37">
        <v>33.909861729446156</v>
      </c>
      <c r="G13" s="37">
        <v>40.107115627226278</v>
      </c>
      <c r="H13" s="37">
        <v>38.179752003290588</v>
      </c>
      <c r="I13" s="37">
        <v>43.525560036534252</v>
      </c>
      <c r="J13" s="37">
        <v>46.437279307207064</v>
      </c>
      <c r="K13" s="37">
        <v>47.161144433258997</v>
      </c>
      <c r="L13" s="37">
        <v>36.452246031320485</v>
      </c>
      <c r="M13" s="37">
        <v>38.825711080765537</v>
      </c>
      <c r="N13" s="37">
        <v>50.198523529015993</v>
      </c>
      <c r="O13" s="37">
        <v>48.495011773777904</v>
      </c>
      <c r="P13" s="37">
        <v>49.342875758284492</v>
      </c>
      <c r="Q13" s="37">
        <v>44.757457429658508</v>
      </c>
      <c r="R13" s="37">
        <v>47.911229061387495</v>
      </c>
      <c r="S13" s="37">
        <v>65.785915589160211</v>
      </c>
      <c r="T13" s="37">
        <v>68.124926813763693</v>
      </c>
      <c r="U13" s="37">
        <v>61.633147776825496</v>
      </c>
      <c r="V13" s="37">
        <v>75.410196154910537</v>
      </c>
      <c r="W13" s="37">
        <v>84.62450051018152</v>
      </c>
      <c r="X13" s="37">
        <v>101.77731321119607</v>
      </c>
      <c r="Y13" s="37">
        <v>109.10460323876947</v>
      </c>
      <c r="Z13" s="37">
        <v>113.48691697242305</v>
      </c>
      <c r="AA13" s="37">
        <v>101.90095137681669</v>
      </c>
      <c r="AB13" s="37">
        <v>96.459232563348621</v>
      </c>
      <c r="AC13" s="38">
        <v>101.33617398236898</v>
      </c>
      <c r="AD13" s="38">
        <v>124.01732993071276</v>
      </c>
      <c r="AE13" s="38">
        <v>103.27967446393679</v>
      </c>
      <c r="AF13" s="38">
        <v>93.307030130191265</v>
      </c>
      <c r="AG13" s="38">
        <v>90.412136151958279</v>
      </c>
      <c r="AH13" s="38">
        <v>94.931700492970734</v>
      </c>
      <c r="AI13" s="38">
        <v>102.58208068617589</v>
      </c>
      <c r="AJ13" s="38">
        <v>121.51020397271286</v>
      </c>
      <c r="AK13" s="38">
        <v>121.45745598774849</v>
      </c>
      <c r="AL13" s="38">
        <v>121.84802420899997</v>
      </c>
      <c r="AM13" s="123">
        <v>0.18451685869428602</v>
      </c>
      <c r="AN13" s="123">
        <v>-4.3410333650839572E-4</v>
      </c>
      <c r="AO13" s="123">
        <v>3.215679252255077E-3</v>
      </c>
    </row>
    <row r="14" spans="1:41" s="15" customFormat="1" ht="19.5" customHeight="1" x14ac:dyDescent="0.3">
      <c r="A14" s="11" t="s">
        <v>77</v>
      </c>
      <c r="B14" s="35">
        <v>3.218459746254744</v>
      </c>
      <c r="C14" s="35">
        <v>5.5329512500286677</v>
      </c>
      <c r="D14" s="35">
        <v>2.6821732734106942</v>
      </c>
      <c r="E14" s="35">
        <v>4.7298040683173017</v>
      </c>
      <c r="F14" s="35">
        <v>2.4444663429246174</v>
      </c>
      <c r="G14" s="35">
        <v>3.475150080438643</v>
      </c>
      <c r="H14" s="35">
        <v>4.1218149974881699</v>
      </c>
      <c r="I14" s="35">
        <v>1.819006383472614</v>
      </c>
      <c r="J14" s="35">
        <v>3.578198049456196</v>
      </c>
      <c r="K14" s="35">
        <v>2.9551511727193334</v>
      </c>
      <c r="L14" s="35">
        <v>2.9517998491458597</v>
      </c>
      <c r="M14" s="35">
        <v>3.0037985707775032</v>
      </c>
      <c r="N14" s="35">
        <v>3.0386188121260767</v>
      </c>
      <c r="O14" s="35">
        <v>3.234078517118939</v>
      </c>
      <c r="P14" s="35">
        <v>2.8839163512110151</v>
      </c>
      <c r="Q14" s="35">
        <v>3.3106185605939862</v>
      </c>
      <c r="R14" s="35">
        <v>2.423259521465754</v>
      </c>
      <c r="S14" s="35">
        <v>2.3057623337976363</v>
      </c>
      <c r="T14" s="35">
        <v>2.4717229102446918</v>
      </c>
      <c r="U14" s="35">
        <v>3.9080796218635849</v>
      </c>
      <c r="V14" s="35">
        <v>3.5500563278417046</v>
      </c>
      <c r="W14" s="35">
        <v>5.8370425834902777</v>
      </c>
      <c r="X14" s="35">
        <v>2.3005626280907303</v>
      </c>
      <c r="Y14" s="35">
        <v>2.9907616287285506</v>
      </c>
      <c r="Z14" s="35">
        <v>6.6278076703050663</v>
      </c>
      <c r="AA14" s="35">
        <v>7.7516977045531856</v>
      </c>
      <c r="AB14" s="35">
        <v>5.8650415897175696</v>
      </c>
      <c r="AC14" s="36">
        <v>6.6852865597720887</v>
      </c>
      <c r="AD14" s="36">
        <v>3.3801563351349371</v>
      </c>
      <c r="AE14" s="139" t="s">
        <v>116</v>
      </c>
      <c r="AF14" s="139" t="s">
        <v>116</v>
      </c>
      <c r="AG14" s="139" t="s">
        <v>116</v>
      </c>
      <c r="AH14" s="139" t="s">
        <v>116</v>
      </c>
      <c r="AI14" s="139" t="s">
        <v>116</v>
      </c>
      <c r="AJ14" s="139" t="s">
        <v>116</v>
      </c>
      <c r="AK14" s="139" t="s">
        <v>116</v>
      </c>
      <c r="AL14" s="139" t="s">
        <v>116</v>
      </c>
      <c r="AM14" s="123" t="s">
        <v>116</v>
      </c>
      <c r="AN14" s="123" t="s">
        <v>116</v>
      </c>
      <c r="AO14" s="123" t="s">
        <v>116</v>
      </c>
    </row>
    <row r="15" spans="1:41" s="15" customFormat="1" ht="19.5" customHeight="1" x14ac:dyDescent="0.3">
      <c r="A15" s="16" t="s">
        <v>15</v>
      </c>
      <c r="B15" s="37">
        <v>20.231950516232885</v>
      </c>
      <c r="C15" s="37">
        <v>16.837846174410338</v>
      </c>
      <c r="D15" s="37">
        <v>18.299590241673894</v>
      </c>
      <c r="E15" s="37">
        <v>17.602696794275456</v>
      </c>
      <c r="F15" s="37">
        <v>18.382656701671699</v>
      </c>
      <c r="G15" s="37">
        <v>25.042097756694066</v>
      </c>
      <c r="H15" s="37">
        <v>14.762829815915074</v>
      </c>
      <c r="I15" s="37">
        <v>13.519495723063541</v>
      </c>
      <c r="J15" s="37">
        <v>14.035283669922812</v>
      </c>
      <c r="K15" s="37">
        <v>18.45700423256806</v>
      </c>
      <c r="L15" s="37">
        <v>15.467108513239047</v>
      </c>
      <c r="M15" s="37">
        <v>12.01449555079879</v>
      </c>
      <c r="N15" s="37">
        <v>13.488006904764136</v>
      </c>
      <c r="O15" s="37">
        <v>17.906924036785529</v>
      </c>
      <c r="P15" s="37">
        <v>18.519511960145906</v>
      </c>
      <c r="Q15" s="37">
        <v>12.96257694762261</v>
      </c>
      <c r="R15" s="37">
        <v>14.096355964436247</v>
      </c>
      <c r="S15" s="37">
        <v>14.470026717051869</v>
      </c>
      <c r="T15" s="37">
        <v>13.840672448168135</v>
      </c>
      <c r="U15" s="37">
        <v>24.810303484958581</v>
      </c>
      <c r="V15" s="37">
        <v>16.846901304238273</v>
      </c>
      <c r="W15" s="37">
        <v>15.207657324244783</v>
      </c>
      <c r="X15" s="37">
        <v>14.937305148056934</v>
      </c>
      <c r="Y15" s="37">
        <v>17.58543074809069</v>
      </c>
      <c r="Z15" s="37">
        <v>18.428253776014028</v>
      </c>
      <c r="AA15" s="37">
        <v>16.700624560284361</v>
      </c>
      <c r="AB15" s="37">
        <v>15.952563886687606</v>
      </c>
      <c r="AC15" s="38">
        <v>20.612632346780842</v>
      </c>
      <c r="AD15" s="38">
        <v>15.107497409038633</v>
      </c>
      <c r="AE15" s="38">
        <v>9.773077812712005</v>
      </c>
      <c r="AF15" s="38">
        <v>15.320082951588757</v>
      </c>
      <c r="AG15" s="38">
        <v>16.964167026950406</v>
      </c>
      <c r="AH15" s="38">
        <v>14.430760149895402</v>
      </c>
      <c r="AI15" s="38">
        <v>15.891259002135781</v>
      </c>
      <c r="AJ15" s="38">
        <v>15.973891709862119</v>
      </c>
      <c r="AK15" s="38">
        <v>14.948071140649201</v>
      </c>
      <c r="AL15" s="38">
        <v>15.447138701433337</v>
      </c>
      <c r="AM15" s="123">
        <v>5.1998842706693083E-3</v>
      </c>
      <c r="AN15" s="123">
        <v>-6.4218575400732614E-2</v>
      </c>
      <c r="AO15" s="123">
        <v>3.3386753119403645E-2</v>
      </c>
    </row>
    <row r="16" spans="1:41" s="15" customFormat="1" ht="19.5" customHeight="1" x14ac:dyDescent="0.3">
      <c r="A16" s="11" t="s">
        <v>78</v>
      </c>
      <c r="B16" s="35">
        <v>6.9064368577556898</v>
      </c>
      <c r="C16" s="35">
        <v>7.1758378535474456</v>
      </c>
      <c r="D16" s="35">
        <v>6.5615246716444924</v>
      </c>
      <c r="E16" s="35">
        <v>13.305329223526213</v>
      </c>
      <c r="F16" s="35">
        <v>13.407934061737359</v>
      </c>
      <c r="G16" s="35">
        <v>9.1554879505789284</v>
      </c>
      <c r="H16" s="35">
        <v>7.5347585620518309</v>
      </c>
      <c r="I16" s="35">
        <v>8.7575418469056707</v>
      </c>
      <c r="J16" s="35">
        <v>9.8385137077342133</v>
      </c>
      <c r="K16" s="35">
        <v>8.2960021075457728</v>
      </c>
      <c r="L16" s="35">
        <v>9.6983240150383008</v>
      </c>
      <c r="M16" s="35">
        <v>8.139544343242811</v>
      </c>
      <c r="N16" s="35">
        <v>7.856535131918938</v>
      </c>
      <c r="O16" s="35">
        <v>9.1420120129449955</v>
      </c>
      <c r="P16" s="35">
        <v>9.8806191854147567</v>
      </c>
      <c r="Q16" s="35">
        <v>14.535335242187168</v>
      </c>
      <c r="R16" s="35">
        <v>14.278751650970499</v>
      </c>
      <c r="S16" s="35">
        <v>14.568098594435986</v>
      </c>
      <c r="T16" s="35">
        <v>15.110669237090034</v>
      </c>
      <c r="U16" s="35">
        <v>14.864233463135223</v>
      </c>
      <c r="V16" s="35">
        <v>14.976728947888658</v>
      </c>
      <c r="W16" s="35">
        <v>12.309359858270062</v>
      </c>
      <c r="X16" s="35">
        <v>12.206655647382492</v>
      </c>
      <c r="Y16" s="35">
        <v>13.052425345707393</v>
      </c>
      <c r="Z16" s="35">
        <v>14.829642468763891</v>
      </c>
      <c r="AA16" s="35">
        <v>15.13552628578922</v>
      </c>
      <c r="AB16" s="35">
        <v>14.634226312745289</v>
      </c>
      <c r="AC16" s="36">
        <v>10.38863354101496</v>
      </c>
      <c r="AD16" s="139" t="s">
        <v>116</v>
      </c>
      <c r="AE16" s="139" t="s">
        <v>116</v>
      </c>
      <c r="AF16" s="139" t="s">
        <v>116</v>
      </c>
      <c r="AG16" s="139" t="s">
        <v>116</v>
      </c>
      <c r="AH16" s="139" t="s">
        <v>116</v>
      </c>
      <c r="AI16" s="139" t="s">
        <v>116</v>
      </c>
      <c r="AJ16" s="139" t="s">
        <v>116</v>
      </c>
      <c r="AK16" s="139" t="s">
        <v>116</v>
      </c>
      <c r="AL16" s="139" t="s">
        <v>116</v>
      </c>
      <c r="AM16" s="123" t="s">
        <v>116</v>
      </c>
      <c r="AN16" s="123" t="s">
        <v>116</v>
      </c>
      <c r="AO16" s="123" t="s">
        <v>116</v>
      </c>
    </row>
    <row r="17" spans="1:41" s="15" customFormat="1" ht="19.5" customHeight="1" x14ac:dyDescent="0.3">
      <c r="A17" s="16" t="s">
        <v>16</v>
      </c>
      <c r="B17" s="37">
        <v>25.484975208928486</v>
      </c>
      <c r="C17" s="37">
        <v>26.204367054524266</v>
      </c>
      <c r="D17" s="37">
        <v>24.075229650719205</v>
      </c>
      <c r="E17" s="37">
        <v>22.86619230764984</v>
      </c>
      <c r="F17" s="37">
        <v>19.51537505632826</v>
      </c>
      <c r="G17" s="37">
        <v>23.305675762887656</v>
      </c>
      <c r="H17" s="37">
        <v>25.473698997043233</v>
      </c>
      <c r="I17" s="37">
        <v>17.504692189805965</v>
      </c>
      <c r="J17" s="37">
        <v>21.641861099968057</v>
      </c>
      <c r="K17" s="37">
        <v>23.62342238797503</v>
      </c>
      <c r="L17" s="37">
        <v>23.328137268174366</v>
      </c>
      <c r="M17" s="37">
        <v>14.815530428776785</v>
      </c>
      <c r="N17" s="37">
        <v>26.579052800882298</v>
      </c>
      <c r="O17" s="37">
        <v>32.146183902052371</v>
      </c>
      <c r="P17" s="37">
        <v>26.864569989604998</v>
      </c>
      <c r="Q17" s="37">
        <v>24.002553974081554</v>
      </c>
      <c r="R17" s="37">
        <v>22.923001729510474</v>
      </c>
      <c r="S17" s="37">
        <v>27.334488307098074</v>
      </c>
      <c r="T17" s="37">
        <v>25.759703510945933</v>
      </c>
      <c r="U17" s="37">
        <v>26.512250675888371</v>
      </c>
      <c r="V17" s="37">
        <v>23.227680346941668</v>
      </c>
      <c r="W17" s="37">
        <v>30.150148138191774</v>
      </c>
      <c r="X17" s="37">
        <v>33.512947492900267</v>
      </c>
      <c r="Y17" s="37">
        <v>19.890371636771391</v>
      </c>
      <c r="Z17" s="37">
        <v>21.506921969558643</v>
      </c>
      <c r="AA17" s="37">
        <v>25.9427010661468</v>
      </c>
      <c r="AB17" s="37">
        <v>21.938515376774625</v>
      </c>
      <c r="AC17" s="38">
        <v>23.395883165270355</v>
      </c>
      <c r="AD17" s="38">
        <v>26.004322387518027</v>
      </c>
      <c r="AE17" s="38">
        <v>21.094069269325573</v>
      </c>
      <c r="AF17" s="38">
        <v>21.102812589769162</v>
      </c>
      <c r="AG17" s="38">
        <v>19.142605708963945</v>
      </c>
      <c r="AH17" s="38">
        <v>18.725263638680882</v>
      </c>
      <c r="AI17" s="38">
        <v>17.997526972326288</v>
      </c>
      <c r="AJ17" s="38">
        <v>22.067656260951203</v>
      </c>
      <c r="AK17" s="38">
        <v>28.568739968505909</v>
      </c>
      <c r="AL17" s="38">
        <v>34.200694555479309</v>
      </c>
      <c r="AM17" s="123">
        <v>0.22614936457010493</v>
      </c>
      <c r="AN17" s="123">
        <v>0.29459783271404305</v>
      </c>
      <c r="AO17" s="123">
        <v>0.1971369613494347</v>
      </c>
    </row>
    <row r="18" spans="1:41" s="15" customFormat="1" ht="19.5" customHeight="1" x14ac:dyDescent="0.3">
      <c r="A18" s="11" t="s">
        <v>17</v>
      </c>
      <c r="B18" s="35">
        <v>0.48266396259260547</v>
      </c>
      <c r="C18" s="35">
        <v>0.32823452159156136</v>
      </c>
      <c r="D18" s="35">
        <v>0.24444717273022923</v>
      </c>
      <c r="E18" s="35">
        <v>0.20842263419147022</v>
      </c>
      <c r="F18" s="35">
        <v>0.10576326937694522</v>
      </c>
      <c r="G18" s="35">
        <v>0.12353653881653892</v>
      </c>
      <c r="H18" s="35">
        <v>7.8052653630879043E-2</v>
      </c>
      <c r="I18" s="35">
        <v>9.5115131649843893E-2</v>
      </c>
      <c r="J18" s="35">
        <v>0.19887889307839804</v>
      </c>
      <c r="K18" s="35">
        <v>3.1764700472749138E-2</v>
      </c>
      <c r="L18" s="35">
        <v>7.7013031706342328E-2</v>
      </c>
      <c r="M18" s="35">
        <v>0.32330886209714355</v>
      </c>
      <c r="N18" s="35">
        <v>0.21890605318135536</v>
      </c>
      <c r="O18" s="35">
        <v>0.16525657041334729</v>
      </c>
      <c r="P18" s="35">
        <v>0.22339476469431571</v>
      </c>
      <c r="Q18" s="35">
        <v>0.41564277918913484</v>
      </c>
      <c r="R18" s="35">
        <v>0.40078194170198045</v>
      </c>
      <c r="S18" s="35">
        <v>0.1838947507671943</v>
      </c>
      <c r="T18" s="35">
        <v>0.19966177798237159</v>
      </c>
      <c r="U18" s="35">
        <v>0.26439907706542143</v>
      </c>
      <c r="V18" s="137" t="s">
        <v>116</v>
      </c>
      <c r="W18" s="137" t="s">
        <v>116</v>
      </c>
      <c r="X18" s="35">
        <v>0.35297322545144788</v>
      </c>
      <c r="Y18" s="35">
        <v>8.1099726281064266E-2</v>
      </c>
      <c r="Z18" s="35">
        <v>3.9246132052570035E-2</v>
      </c>
      <c r="AA18" s="35">
        <v>0.11314470978475395</v>
      </c>
      <c r="AB18" s="35">
        <v>0.12555040640982595</v>
      </c>
      <c r="AC18" s="36">
        <v>8.2487031972224067E-2</v>
      </c>
      <c r="AD18" s="36">
        <v>5.0030830238329237E-2</v>
      </c>
      <c r="AE18" s="36">
        <v>8.1644256159204495E-2</v>
      </c>
      <c r="AF18" s="36">
        <v>0.10534408939917073</v>
      </c>
      <c r="AG18" s="36">
        <v>0.12875873369341453</v>
      </c>
      <c r="AH18" s="36">
        <v>9.9175971960766204E-2</v>
      </c>
      <c r="AI18" s="36">
        <v>0.12867127475516721</v>
      </c>
      <c r="AJ18" s="36">
        <v>0.11000085729662849</v>
      </c>
      <c r="AK18" s="36">
        <v>0.12434962005985147</v>
      </c>
      <c r="AL18" s="36">
        <v>0.17134021666666666</v>
      </c>
      <c r="AM18" s="123">
        <v>-0.14510167474492164</v>
      </c>
      <c r="AN18" s="123">
        <v>0.13044228123177337</v>
      </c>
      <c r="AO18" s="123">
        <v>0.37789095442509479</v>
      </c>
    </row>
    <row r="19" spans="1:41" s="15" customFormat="1" ht="19.5" customHeight="1" x14ac:dyDescent="0.3">
      <c r="A19" s="16" t="s">
        <v>18</v>
      </c>
      <c r="B19" s="37">
        <v>14.942787236829728</v>
      </c>
      <c r="C19" s="37">
        <v>12.95893002811026</v>
      </c>
      <c r="D19" s="37">
        <v>14.241114934649509</v>
      </c>
      <c r="E19" s="37">
        <v>14.806636664252329</v>
      </c>
      <c r="F19" s="37">
        <v>12.986399230963695</v>
      </c>
      <c r="G19" s="37">
        <v>11.06922780753726</v>
      </c>
      <c r="H19" s="37">
        <v>16.83092894490828</v>
      </c>
      <c r="I19" s="37">
        <v>12.305622182218206</v>
      </c>
      <c r="J19" s="37">
        <v>12.836495158513062</v>
      </c>
      <c r="K19" s="37">
        <v>11.679990624897183</v>
      </c>
      <c r="L19" s="37">
        <v>12.318428189039803</v>
      </c>
      <c r="M19" s="37">
        <v>11.432990075886417</v>
      </c>
      <c r="N19" s="37">
        <v>9.0140572676834942</v>
      </c>
      <c r="O19" s="37">
        <v>9.2069785255806202</v>
      </c>
      <c r="P19" s="37">
        <v>12.936379175817606</v>
      </c>
      <c r="Q19" s="37">
        <v>17.049962153589551</v>
      </c>
      <c r="R19" s="37">
        <v>15.945872493743583</v>
      </c>
      <c r="S19" s="37">
        <v>15.266670995190902</v>
      </c>
      <c r="T19" s="37">
        <v>14.223549059395726</v>
      </c>
      <c r="U19" s="37">
        <v>15.268453678155423</v>
      </c>
      <c r="V19" s="37">
        <v>15.269523573481212</v>
      </c>
      <c r="W19" s="37">
        <v>15.937983410052691</v>
      </c>
      <c r="X19" s="37">
        <v>15.130838571398128</v>
      </c>
      <c r="Y19" s="37">
        <v>13.733709807560954</v>
      </c>
      <c r="Z19" s="37">
        <v>14.701905691796128</v>
      </c>
      <c r="AA19" s="37">
        <v>15.6769449400868</v>
      </c>
      <c r="AB19" s="37">
        <v>13.926361360027681</v>
      </c>
      <c r="AC19" s="38">
        <v>11.704541947886032</v>
      </c>
      <c r="AD19" s="38">
        <v>21.925820183107422</v>
      </c>
      <c r="AE19" s="38">
        <v>16.553830457741284</v>
      </c>
      <c r="AF19" s="38">
        <v>13.581688238448264</v>
      </c>
      <c r="AG19" s="38">
        <v>13.518831135481548</v>
      </c>
      <c r="AH19" s="38">
        <v>12.740510130074714</v>
      </c>
      <c r="AI19" s="38">
        <v>15.033068062189898</v>
      </c>
      <c r="AJ19" s="38">
        <v>21.620382692396195</v>
      </c>
      <c r="AK19" s="38">
        <v>19.622342004458609</v>
      </c>
      <c r="AL19" s="38">
        <v>18.905181644979667</v>
      </c>
      <c r="AM19" s="123">
        <v>0.43818830613653925</v>
      </c>
      <c r="AN19" s="123">
        <v>-9.2414677222170005E-2</v>
      </c>
      <c r="AO19" s="123">
        <v>-3.6548153085701363E-2</v>
      </c>
    </row>
    <row r="20" spans="1:41" s="15" customFormat="1" ht="19.5" customHeight="1" x14ac:dyDescent="0.3">
      <c r="A20" s="11" t="s">
        <v>19</v>
      </c>
      <c r="B20" s="35">
        <v>42.329406608964767</v>
      </c>
      <c r="C20" s="35">
        <v>37.924072198177463</v>
      </c>
      <c r="D20" s="35">
        <v>41.455956881787877</v>
      </c>
      <c r="E20" s="35">
        <v>49.493113742037615</v>
      </c>
      <c r="F20" s="35">
        <v>50.669374073506063</v>
      </c>
      <c r="G20" s="35">
        <v>43.749514216331377</v>
      </c>
      <c r="H20" s="35">
        <v>41.025674996384105</v>
      </c>
      <c r="I20" s="35">
        <v>38.692603539803876</v>
      </c>
      <c r="J20" s="35">
        <v>34.54356683020886</v>
      </c>
      <c r="K20" s="35">
        <v>34.255479936154757</v>
      </c>
      <c r="L20" s="35">
        <v>39.749535193228773</v>
      </c>
      <c r="M20" s="35">
        <v>41.550816086756527</v>
      </c>
      <c r="N20" s="35">
        <v>39.387578577737266</v>
      </c>
      <c r="O20" s="35">
        <v>47.707115747025391</v>
      </c>
      <c r="P20" s="35">
        <v>63.421685751555259</v>
      </c>
      <c r="Q20" s="35">
        <v>47.883986953352618</v>
      </c>
      <c r="R20" s="35">
        <v>36.192628908535397</v>
      </c>
      <c r="S20" s="35">
        <v>39.354350102015246</v>
      </c>
      <c r="T20" s="35">
        <v>58.237281264386723</v>
      </c>
      <c r="U20" s="35">
        <v>70.136322898555079</v>
      </c>
      <c r="V20" s="35">
        <v>47.439338064437223</v>
      </c>
      <c r="W20" s="35">
        <v>46.337194001614655</v>
      </c>
      <c r="X20" s="35">
        <v>61.819332375855552</v>
      </c>
      <c r="Y20" s="35">
        <v>76.501540370993268</v>
      </c>
      <c r="Z20" s="35">
        <v>80.223659772504192</v>
      </c>
      <c r="AA20" s="35">
        <v>76.056263044373708</v>
      </c>
      <c r="AB20" s="35">
        <v>79.868967999750112</v>
      </c>
      <c r="AC20" s="36">
        <v>75.945620458631339</v>
      </c>
      <c r="AD20" s="36">
        <v>87.196686907735469</v>
      </c>
      <c r="AE20" s="36">
        <v>79.814282360676046</v>
      </c>
      <c r="AF20" s="36">
        <v>100.69803187905246</v>
      </c>
      <c r="AG20" s="36">
        <v>127.08685527633469</v>
      </c>
      <c r="AH20" s="36">
        <v>136.70205780140412</v>
      </c>
      <c r="AI20" s="36">
        <v>153.60519656966378</v>
      </c>
      <c r="AJ20" s="36">
        <v>151.77047156026561</v>
      </c>
      <c r="AK20" s="36">
        <v>125.81420139288288</v>
      </c>
      <c r="AL20" s="36">
        <v>140.89152175721745</v>
      </c>
      <c r="AM20" s="123">
        <v>-1.1944420178298332E-2</v>
      </c>
      <c r="AN20" s="123">
        <v>-0.17102318982435205</v>
      </c>
      <c r="AO20" s="123">
        <v>0.1198379848809934</v>
      </c>
    </row>
    <row r="21" spans="1:41" s="15" customFormat="1" ht="19.5" customHeight="1" x14ac:dyDescent="0.3">
      <c r="A21" s="16" t="s">
        <v>79</v>
      </c>
      <c r="B21" s="37">
        <v>1.3454117967655035</v>
      </c>
      <c r="C21" s="37">
        <v>0.86534603278378452</v>
      </c>
      <c r="D21" s="37">
        <v>0.69259729882256138</v>
      </c>
      <c r="E21" s="37">
        <v>0.26990180050637952</v>
      </c>
      <c r="F21" s="37">
        <v>0.39694361472547807</v>
      </c>
      <c r="G21" s="37">
        <v>0.52166559950366076</v>
      </c>
      <c r="H21" s="37">
        <v>0.53242633196960631</v>
      </c>
      <c r="I21" s="37">
        <v>0.44534778606872111</v>
      </c>
      <c r="J21" s="37">
        <v>0.60417188046836612</v>
      </c>
      <c r="K21" s="37">
        <v>0.79757518485896339</v>
      </c>
      <c r="L21" s="37">
        <v>1.1700289274910687</v>
      </c>
      <c r="M21" s="37">
        <v>1.6354073258253314</v>
      </c>
      <c r="N21" s="37">
        <v>0.85872449068872503</v>
      </c>
      <c r="O21" s="37">
        <v>0.97794506545093618</v>
      </c>
      <c r="P21" s="37">
        <v>1.0245709506504024</v>
      </c>
      <c r="Q21" s="37">
        <v>0.74901118379033937</v>
      </c>
      <c r="R21" s="37">
        <v>0.78493615321958821</v>
      </c>
      <c r="S21" s="37">
        <v>0.74277702929640221</v>
      </c>
      <c r="T21" s="37">
        <v>0.8862298615245856</v>
      </c>
      <c r="U21" s="37">
        <v>0.8549867995447179</v>
      </c>
      <c r="V21" s="37">
        <v>0.73926082018764738</v>
      </c>
      <c r="W21" s="37">
        <v>0.77305225314655102</v>
      </c>
      <c r="X21" s="37">
        <v>0.95230539543540005</v>
      </c>
      <c r="Y21" s="37">
        <v>1.0687782103309051</v>
      </c>
      <c r="Z21" s="37">
        <v>1.077118141014529</v>
      </c>
      <c r="AA21" s="37">
        <v>1.4762912872160885</v>
      </c>
      <c r="AB21" s="37">
        <v>2.5651976250591688</v>
      </c>
      <c r="AC21" s="38">
        <v>2.4649016383846352</v>
      </c>
      <c r="AD21" s="38">
        <v>2.4666546315704689</v>
      </c>
      <c r="AE21" s="140" t="s">
        <v>116</v>
      </c>
      <c r="AF21" s="140" t="s">
        <v>116</v>
      </c>
      <c r="AG21" s="140" t="s">
        <v>116</v>
      </c>
      <c r="AH21" s="140" t="s">
        <v>116</v>
      </c>
      <c r="AI21" s="140" t="s">
        <v>116</v>
      </c>
      <c r="AJ21" s="140" t="s">
        <v>116</v>
      </c>
      <c r="AK21" s="140" t="s">
        <v>116</v>
      </c>
      <c r="AL21" s="140" t="s">
        <v>116</v>
      </c>
      <c r="AM21" s="123" t="s">
        <v>116</v>
      </c>
      <c r="AN21" s="123" t="s">
        <v>116</v>
      </c>
      <c r="AO21" s="123" t="s">
        <v>116</v>
      </c>
    </row>
    <row r="22" spans="1:41" s="15" customFormat="1" ht="19.5" customHeight="1" x14ac:dyDescent="0.3">
      <c r="A22" s="11" t="s">
        <v>20</v>
      </c>
      <c r="B22" s="35">
        <v>62.192236145720791</v>
      </c>
      <c r="C22" s="35">
        <v>39.714761856205101</v>
      </c>
      <c r="D22" s="35">
        <v>36.459050721318022</v>
      </c>
      <c r="E22" s="35">
        <v>49.780035316886249</v>
      </c>
      <c r="F22" s="35">
        <v>57.430867937561828</v>
      </c>
      <c r="G22" s="35">
        <v>51.03076141310126</v>
      </c>
      <c r="H22" s="35">
        <v>41.749594781975787</v>
      </c>
      <c r="I22" s="35">
        <v>48.576755709573341</v>
      </c>
      <c r="J22" s="35">
        <v>59.399791770789832</v>
      </c>
      <c r="K22" s="35">
        <v>56.871607017810732</v>
      </c>
      <c r="L22" s="35">
        <v>59.181662149710633</v>
      </c>
      <c r="M22" s="35">
        <v>59.803008099141934</v>
      </c>
      <c r="N22" s="35">
        <v>77.548765442296983</v>
      </c>
      <c r="O22" s="35">
        <v>107.49985108165843</v>
      </c>
      <c r="P22" s="35">
        <v>132.68540829686378</v>
      </c>
      <c r="Q22" s="35">
        <v>124.03750314978716</v>
      </c>
      <c r="R22" s="35">
        <v>88.586235880178947</v>
      </c>
      <c r="S22" s="35">
        <v>77.435748642930974</v>
      </c>
      <c r="T22" s="35">
        <v>98.195517800264511</v>
      </c>
      <c r="U22" s="35">
        <v>128.17281784701066</v>
      </c>
      <c r="V22" s="35">
        <v>124.35168134999569</v>
      </c>
      <c r="W22" s="35">
        <v>121.82377652238603</v>
      </c>
      <c r="X22" s="35">
        <v>135.97227687682681</v>
      </c>
      <c r="Y22" s="35">
        <v>158.84274170788066</v>
      </c>
      <c r="Z22" s="35">
        <v>188.02214113440706</v>
      </c>
      <c r="AA22" s="35">
        <v>190.39588978994612</v>
      </c>
      <c r="AB22" s="35">
        <v>209.3390267488237</v>
      </c>
      <c r="AC22" s="36">
        <v>210.68318200813792</v>
      </c>
      <c r="AD22" s="36">
        <v>215.13854403347727</v>
      </c>
      <c r="AE22" s="36">
        <v>241.14250085101247</v>
      </c>
      <c r="AF22" s="36">
        <v>217.97987204853064</v>
      </c>
      <c r="AG22" s="36">
        <v>311.3817911007535</v>
      </c>
      <c r="AH22" s="36">
        <v>397.24568236517416</v>
      </c>
      <c r="AI22" s="36">
        <v>349.42778156579482</v>
      </c>
      <c r="AJ22" s="36">
        <v>357.74707734782777</v>
      </c>
      <c r="AK22" s="36">
        <v>300.8785569622022</v>
      </c>
      <c r="AL22" s="36">
        <v>360.79406604153331</v>
      </c>
      <c r="AM22" s="123">
        <v>2.3808341010419953E-2</v>
      </c>
      <c r="AN22" s="123">
        <v>-0.15896292097540698</v>
      </c>
      <c r="AO22" s="123">
        <v>0.19913519156786563</v>
      </c>
    </row>
    <row r="23" spans="1:41" s="15" customFormat="1" ht="19.5" customHeight="1" x14ac:dyDescent="0.3">
      <c r="A23" s="16" t="s">
        <v>21</v>
      </c>
      <c r="B23" s="37">
        <v>8.551576297391474</v>
      </c>
      <c r="C23" s="37">
        <v>10.547911543120653</v>
      </c>
      <c r="D23" s="37">
        <v>8.5258839772248649</v>
      </c>
      <c r="E23" s="37">
        <v>6.6238211199633659</v>
      </c>
      <c r="F23" s="37">
        <v>7.2225904054166712</v>
      </c>
      <c r="G23" s="37">
        <v>12.002594764053718</v>
      </c>
      <c r="H23" s="37">
        <v>10.465046109304977</v>
      </c>
      <c r="I23" s="37">
        <v>8.2706076112329185</v>
      </c>
      <c r="J23" s="37">
        <v>7.2759367753531548</v>
      </c>
      <c r="K23" s="37">
        <v>9.1783962979102061</v>
      </c>
      <c r="L23" s="37">
        <v>9.248542393694116</v>
      </c>
      <c r="M23" s="37">
        <v>8.3961518402524966</v>
      </c>
      <c r="N23" s="37">
        <v>7.7230117705039119</v>
      </c>
      <c r="O23" s="37">
        <v>9.3568173830835359</v>
      </c>
      <c r="P23" s="37">
        <v>11.11709710857069</v>
      </c>
      <c r="Q23" s="37">
        <v>12.185248928246697</v>
      </c>
      <c r="R23" s="37">
        <v>11.54139420843161</v>
      </c>
      <c r="S23" s="37">
        <v>10.005073601263105</v>
      </c>
      <c r="T23" s="37">
        <v>11.178454531950495</v>
      </c>
      <c r="U23" s="37">
        <v>12.393858931890772</v>
      </c>
      <c r="V23" s="37">
        <v>14.705028332028387</v>
      </c>
      <c r="W23" s="37">
        <v>14.62976899980487</v>
      </c>
      <c r="X23" s="37">
        <v>16.063451682852389</v>
      </c>
      <c r="Y23" s="37">
        <v>15.054010686231138</v>
      </c>
      <c r="Z23" s="37">
        <v>28.663280937377841</v>
      </c>
      <c r="AA23" s="37">
        <v>30.106558502849168</v>
      </c>
      <c r="AB23" s="37">
        <v>27.914425320874695</v>
      </c>
      <c r="AC23" s="38">
        <v>15.913998319746813</v>
      </c>
      <c r="AD23" s="38">
        <v>15.03385321895283</v>
      </c>
      <c r="AE23" s="38">
        <v>15.8843044508634</v>
      </c>
      <c r="AF23" s="38">
        <v>16.394486313796875</v>
      </c>
      <c r="AG23" s="38">
        <v>14.240314772694807</v>
      </c>
      <c r="AH23" s="38">
        <v>12.559012160008038</v>
      </c>
      <c r="AI23" s="38">
        <v>15.470886322210674</v>
      </c>
      <c r="AJ23" s="38">
        <v>19.059428194547934</v>
      </c>
      <c r="AK23" s="38">
        <v>20.684749216535248</v>
      </c>
      <c r="AL23" s="38">
        <v>15.091693775300167</v>
      </c>
      <c r="AM23" s="123">
        <v>0.23195451104733378</v>
      </c>
      <c r="AN23" s="123">
        <v>8.5276483921603141E-2</v>
      </c>
      <c r="AO23" s="123">
        <v>-0.27039512941080435</v>
      </c>
    </row>
    <row r="24" spans="1:41" s="15" customFormat="1" ht="19.5" customHeight="1" x14ac:dyDescent="0.3">
      <c r="A24" s="11" t="s">
        <v>22</v>
      </c>
      <c r="B24" s="35">
        <v>11.267466525919179</v>
      </c>
      <c r="C24" s="35">
        <v>4.9969295971914809</v>
      </c>
      <c r="D24" s="35">
        <v>4.5090690784424794</v>
      </c>
      <c r="E24" s="35">
        <v>5.4133881978091534</v>
      </c>
      <c r="F24" s="35">
        <v>3.5535372068789264</v>
      </c>
      <c r="G24" s="35">
        <v>3.0198897659646402</v>
      </c>
      <c r="H24" s="35">
        <v>2.1849861033114379</v>
      </c>
      <c r="I24" s="35">
        <v>5.6377323040052412</v>
      </c>
      <c r="J24" s="35">
        <v>3.1315251086857101</v>
      </c>
      <c r="K24" s="35">
        <v>2.8099499635820107</v>
      </c>
      <c r="L24" s="35">
        <v>3.5114664369080657</v>
      </c>
      <c r="M24" s="35">
        <v>2.383642950321796</v>
      </c>
      <c r="N24" s="35">
        <v>4.877771607122761</v>
      </c>
      <c r="O24" s="35">
        <v>5.8872414679062004</v>
      </c>
      <c r="P24" s="35">
        <v>11.603160337237592</v>
      </c>
      <c r="Q24" s="35">
        <v>9.0372990285138215</v>
      </c>
      <c r="R24" s="35">
        <v>5.7596151710714016</v>
      </c>
      <c r="S24" s="35">
        <v>2.9689593994900769</v>
      </c>
      <c r="T24" s="35">
        <v>6.0766377057039724</v>
      </c>
      <c r="U24" s="35">
        <v>9.2265665355056097</v>
      </c>
      <c r="V24" s="35">
        <v>6.3835303960074814</v>
      </c>
      <c r="W24" s="35">
        <v>7.1504804844217142</v>
      </c>
      <c r="X24" s="35">
        <v>6.1607674621723074</v>
      </c>
      <c r="Y24" s="35">
        <v>7.3844370367085972</v>
      </c>
      <c r="Z24" s="35">
        <v>9.8507793681327627</v>
      </c>
      <c r="AA24" s="35">
        <v>8.4208237039321219</v>
      </c>
      <c r="AB24" s="35">
        <v>6.9365264194737364</v>
      </c>
      <c r="AC24" s="36">
        <v>9.0806818921151269</v>
      </c>
      <c r="AD24" s="36">
        <v>4.6147424357469404</v>
      </c>
      <c r="AE24" s="36">
        <v>7.4341369205252965</v>
      </c>
      <c r="AF24" s="36">
        <v>7.1075384396238768</v>
      </c>
      <c r="AG24" s="36">
        <v>10.323643883256501</v>
      </c>
      <c r="AH24" s="36">
        <v>13.559397864226598</v>
      </c>
      <c r="AI24" s="36">
        <v>19.082874731448367</v>
      </c>
      <c r="AJ24" s="36">
        <v>11.127692390296072</v>
      </c>
      <c r="AK24" s="36">
        <v>10.611935283401197</v>
      </c>
      <c r="AL24" s="36">
        <v>10.454187905040003</v>
      </c>
      <c r="AM24" s="123">
        <v>-0.4168754683508058</v>
      </c>
      <c r="AN24" s="123">
        <v>-4.6348972347999395E-2</v>
      </c>
      <c r="AO24" s="123">
        <v>-1.4865090499367795E-2</v>
      </c>
    </row>
    <row r="25" spans="1:41" s="15" customFormat="1" ht="19.5" customHeight="1" x14ac:dyDescent="0.3">
      <c r="A25" s="16" t="s">
        <v>23</v>
      </c>
      <c r="B25" s="37">
        <v>2.3991972796498824</v>
      </c>
      <c r="C25" s="37">
        <v>2.7585527229654221</v>
      </c>
      <c r="D25" s="37">
        <v>1.2025539402787337</v>
      </c>
      <c r="E25" s="37">
        <v>0.26633801647574135</v>
      </c>
      <c r="F25" s="37">
        <v>0.37692153142328783</v>
      </c>
      <c r="G25" s="37">
        <v>1.3847534752007715</v>
      </c>
      <c r="H25" s="37">
        <v>2.3692829507849842</v>
      </c>
      <c r="I25" s="37">
        <v>1.0176792845151277</v>
      </c>
      <c r="J25" s="37">
        <v>1.7058160585256104</v>
      </c>
      <c r="K25" s="37">
        <v>5.4703095505269745</v>
      </c>
      <c r="L25" s="37">
        <v>4.5263984390745495</v>
      </c>
      <c r="M25" s="37">
        <v>1.7850795670945381</v>
      </c>
      <c r="N25" s="37">
        <v>3.6932187744654446</v>
      </c>
      <c r="O25" s="37">
        <v>3.4877928260246751</v>
      </c>
      <c r="P25" s="37">
        <v>4.5489666737362944</v>
      </c>
      <c r="Q25" s="37">
        <v>8.3895136592790873</v>
      </c>
      <c r="R25" s="37">
        <v>3.4147952071821637</v>
      </c>
      <c r="S25" s="37">
        <v>2.9855373670434333</v>
      </c>
      <c r="T25" s="37">
        <v>6.6355987785585224</v>
      </c>
      <c r="U25" s="37">
        <v>3.2764374911986685</v>
      </c>
      <c r="V25" s="37">
        <v>10.458030595826916</v>
      </c>
      <c r="W25" s="37">
        <v>8.3867489233175441</v>
      </c>
      <c r="X25" s="37">
        <v>11.395954313243308</v>
      </c>
      <c r="Y25" s="37">
        <v>9.5648099517154197</v>
      </c>
      <c r="Z25" s="37">
        <v>8.3607232273758338</v>
      </c>
      <c r="AA25" s="37">
        <v>8.6663804332486798</v>
      </c>
      <c r="AB25" s="37">
        <v>7.2297381255505515</v>
      </c>
      <c r="AC25" s="38">
        <v>6.2993495567506566</v>
      </c>
      <c r="AD25" s="38">
        <v>10.387650538885255</v>
      </c>
      <c r="AE25" s="38">
        <v>8.8430851681478249</v>
      </c>
      <c r="AF25" s="38">
        <v>8.6277144592125605</v>
      </c>
      <c r="AG25" s="38">
        <v>7.5249564811031195</v>
      </c>
      <c r="AH25" s="38">
        <v>7.3716912114980095</v>
      </c>
      <c r="AI25" s="38">
        <v>6.7309350724433834</v>
      </c>
      <c r="AJ25" s="38">
        <v>8.1553558202548402</v>
      </c>
      <c r="AK25" s="38">
        <v>11.288379924713784</v>
      </c>
      <c r="AL25" s="38">
        <v>11.735407034999998</v>
      </c>
      <c r="AM25" s="123">
        <v>0.21162301113898296</v>
      </c>
      <c r="AN25" s="123">
        <v>0.38416767747615488</v>
      </c>
      <c r="AO25" s="123">
        <v>3.9600643605866903E-2</v>
      </c>
    </row>
    <row r="26" spans="1:41" s="15" customFormat="1" ht="19.5" customHeight="1" x14ac:dyDescent="0.3">
      <c r="A26" s="11" t="s">
        <v>80</v>
      </c>
      <c r="B26" s="137" t="s">
        <v>116</v>
      </c>
      <c r="C26" s="137" t="s">
        <v>116</v>
      </c>
      <c r="D26" s="137" t="s">
        <v>116</v>
      </c>
      <c r="E26" s="137" t="s">
        <v>116</v>
      </c>
      <c r="F26" s="137" t="s">
        <v>116</v>
      </c>
      <c r="G26" s="137" t="s">
        <v>116</v>
      </c>
      <c r="H26" s="137" t="s">
        <v>116</v>
      </c>
      <c r="I26" s="137" t="s">
        <v>116</v>
      </c>
      <c r="J26" s="137" t="s">
        <v>116</v>
      </c>
      <c r="K26" s="137" t="s">
        <v>116</v>
      </c>
      <c r="L26" s="137" t="s">
        <v>116</v>
      </c>
      <c r="M26" s="137" t="s">
        <v>116</v>
      </c>
      <c r="N26" s="137" t="s">
        <v>116</v>
      </c>
      <c r="O26" s="137" t="s">
        <v>116</v>
      </c>
      <c r="P26" s="137" t="s">
        <v>116</v>
      </c>
      <c r="Q26" s="137" t="s">
        <v>116</v>
      </c>
      <c r="R26" s="137" t="s">
        <v>116</v>
      </c>
      <c r="S26" s="137" t="s">
        <v>116</v>
      </c>
      <c r="T26" s="137" t="s">
        <v>116</v>
      </c>
      <c r="U26" s="137" t="s">
        <v>116</v>
      </c>
      <c r="V26" s="137" t="s">
        <v>116</v>
      </c>
      <c r="W26" s="137" t="s">
        <v>116</v>
      </c>
      <c r="X26" s="35">
        <v>6.2804261577431211</v>
      </c>
      <c r="Y26" s="35">
        <v>6.7095359878662375</v>
      </c>
      <c r="Z26" s="35">
        <v>7.2987267441016179</v>
      </c>
      <c r="AA26" s="35">
        <v>8.144999606666893</v>
      </c>
      <c r="AB26" s="35">
        <v>7.0805013757340447</v>
      </c>
      <c r="AC26" s="36">
        <v>7.9021872137508025</v>
      </c>
      <c r="AD26" s="36">
        <v>6.2026427923058884</v>
      </c>
      <c r="AE26" s="139" t="s">
        <v>116</v>
      </c>
      <c r="AF26" s="139" t="s">
        <v>116</v>
      </c>
      <c r="AG26" s="139" t="s">
        <v>116</v>
      </c>
      <c r="AH26" s="139" t="s">
        <v>116</v>
      </c>
      <c r="AI26" s="139" t="s">
        <v>116</v>
      </c>
      <c r="AJ26" s="139" t="s">
        <v>116</v>
      </c>
      <c r="AK26" s="139" t="s">
        <v>116</v>
      </c>
      <c r="AL26" s="139" t="s">
        <v>116</v>
      </c>
      <c r="AM26" s="123" t="s">
        <v>116</v>
      </c>
      <c r="AN26" s="123" t="s">
        <v>116</v>
      </c>
      <c r="AO26" s="123" t="s">
        <v>116</v>
      </c>
    </row>
    <row r="27" spans="1:41" s="10" customFormat="1" ht="19.5" customHeight="1" thickBot="1" x14ac:dyDescent="0.35">
      <c r="A27" s="39" t="s">
        <v>24</v>
      </c>
      <c r="B27" s="40">
        <v>296.86105675574487</v>
      </c>
      <c r="C27" s="40">
        <v>262.03020698325008</v>
      </c>
      <c r="D27" s="40">
        <v>260.59086236674483</v>
      </c>
      <c r="E27" s="40">
        <v>281.23049731402762</v>
      </c>
      <c r="F27" s="40">
        <v>271.59612910648394</v>
      </c>
      <c r="G27" s="40">
        <v>286.07574431969272</v>
      </c>
      <c r="H27" s="40">
        <v>266.53076680260352</v>
      </c>
      <c r="I27" s="40">
        <v>245.2713065186837</v>
      </c>
      <c r="J27" s="40">
        <v>296.58298011928082</v>
      </c>
      <c r="K27" s="40">
        <v>308.75725668267239</v>
      </c>
      <c r="L27" s="40">
        <v>308.64476958861559</v>
      </c>
      <c r="M27" s="40">
        <v>284.98852816294504</v>
      </c>
      <c r="N27" s="40">
        <v>316.5695494946126</v>
      </c>
      <c r="O27" s="40">
        <v>378.15325534315514</v>
      </c>
      <c r="P27" s="40">
        <v>429.20105639720191</v>
      </c>
      <c r="Q27" s="40">
        <v>426.05859992970647</v>
      </c>
      <c r="R27" s="40">
        <v>360.21332470141402</v>
      </c>
      <c r="S27" s="40">
        <v>362.41389018863089</v>
      </c>
      <c r="T27" s="40">
        <v>409.28043769460044</v>
      </c>
      <c r="U27" s="40">
        <v>469.95500128333276</v>
      </c>
      <c r="V27" s="40">
        <v>446.39500758665781</v>
      </c>
      <c r="W27" s="40">
        <v>462.96095771177454</v>
      </c>
      <c r="X27" s="40">
        <v>537.67192230281262</v>
      </c>
      <c r="Y27" s="40">
        <v>566.90997266892646</v>
      </c>
      <c r="Z27" s="40">
        <v>616.80166991070757</v>
      </c>
      <c r="AA27" s="40">
        <v>624.73732837674049</v>
      </c>
      <c r="AB27" s="40">
        <v>627.00410822458446</v>
      </c>
      <c r="AC27" s="41">
        <v>634.93272604385163</v>
      </c>
      <c r="AD27" s="41">
        <v>637.56888258662332</v>
      </c>
      <c r="AE27" s="41">
        <v>615.85576567509895</v>
      </c>
      <c r="AF27" s="41">
        <v>606.99935293997646</v>
      </c>
      <c r="AG27" s="41">
        <v>739.9464460240406</v>
      </c>
      <c r="AH27" s="41">
        <v>837.26727303014684</v>
      </c>
      <c r="AI27" s="41">
        <v>841.98492076250227</v>
      </c>
      <c r="AJ27" s="41">
        <v>875.36713056899134</v>
      </c>
      <c r="AK27" s="41">
        <v>847.10586849453784</v>
      </c>
      <c r="AL27" s="41">
        <v>941.83616949820521</v>
      </c>
      <c r="AM27" s="123">
        <v>3.9647039968670805E-2</v>
      </c>
      <c r="AN27" s="123">
        <v>-3.2285039142472272E-2</v>
      </c>
      <c r="AO27" s="123">
        <v>0.11182817228266928</v>
      </c>
    </row>
    <row r="28" spans="1:41" s="15" customFormat="1" ht="19.5" customHeight="1" thickTop="1" x14ac:dyDescent="0.3">
      <c r="A28" s="11" t="s">
        <v>25</v>
      </c>
      <c r="B28" s="137" t="s">
        <v>116</v>
      </c>
      <c r="C28" s="137" t="s">
        <v>116</v>
      </c>
      <c r="D28" s="137" t="s">
        <v>116</v>
      </c>
      <c r="E28" s="137" t="s">
        <v>116</v>
      </c>
      <c r="F28" s="137" t="s">
        <v>116</v>
      </c>
      <c r="G28" s="137" t="s">
        <v>116</v>
      </c>
      <c r="H28" s="137" t="s">
        <v>116</v>
      </c>
      <c r="I28" s="137" t="s">
        <v>116</v>
      </c>
      <c r="J28" s="137" t="s">
        <v>116</v>
      </c>
      <c r="K28" s="137" t="s">
        <v>116</v>
      </c>
      <c r="L28" s="137" t="s">
        <v>116</v>
      </c>
      <c r="M28" s="35">
        <v>60.738758420728296</v>
      </c>
      <c r="N28" s="35">
        <v>67.141034090944359</v>
      </c>
      <c r="O28" s="35">
        <v>71.249322090293603</v>
      </c>
      <c r="P28" s="35">
        <v>71.909124318023999</v>
      </c>
      <c r="Q28" s="35">
        <v>80.906254338257497</v>
      </c>
      <c r="R28" s="35">
        <v>78.548406532466771</v>
      </c>
      <c r="S28" s="35">
        <v>81.552584601769709</v>
      </c>
      <c r="T28" s="35">
        <v>88.628814337160208</v>
      </c>
      <c r="U28" s="35">
        <v>97.856635767627751</v>
      </c>
      <c r="V28" s="35">
        <v>96.83597327829446</v>
      </c>
      <c r="W28" s="35">
        <v>102.09426418994185</v>
      </c>
      <c r="X28" s="35">
        <v>107.9295489920332</v>
      </c>
      <c r="Y28" s="35">
        <v>109.53825939008155</v>
      </c>
      <c r="Z28" s="35">
        <v>118.70072938072408</v>
      </c>
      <c r="AA28" s="35">
        <v>136.36551490511243</v>
      </c>
      <c r="AB28" s="35">
        <v>141.05869126264386</v>
      </c>
      <c r="AC28" s="36">
        <v>132.0375834537854</v>
      </c>
      <c r="AD28" s="36">
        <v>129.57208030227582</v>
      </c>
      <c r="AE28" s="36">
        <v>130.4403679190267</v>
      </c>
      <c r="AF28" s="36">
        <v>139.67296287518522</v>
      </c>
      <c r="AG28" s="36">
        <v>160.2135413578244</v>
      </c>
      <c r="AH28" s="36">
        <v>163.37557995903191</v>
      </c>
      <c r="AI28" s="36">
        <v>159.42022006854032</v>
      </c>
      <c r="AJ28" s="36">
        <v>152.19926714841057</v>
      </c>
      <c r="AK28" s="36">
        <v>169.13837647408889</v>
      </c>
      <c r="AL28" s="36">
        <v>205.44122832043851</v>
      </c>
      <c r="AM28" s="123">
        <v>-4.5295088145187679E-2</v>
      </c>
      <c r="AN28" s="123">
        <v>0.11129560373744019</v>
      </c>
      <c r="AO28" s="123">
        <v>0.21463403281461102</v>
      </c>
    </row>
    <row r="29" spans="1:41" s="15" customFormat="1" ht="19.5" customHeight="1" x14ac:dyDescent="0.3">
      <c r="A29" s="16" t="s">
        <v>26</v>
      </c>
      <c r="B29" s="138" t="s">
        <v>116</v>
      </c>
      <c r="C29" s="138" t="s">
        <v>116</v>
      </c>
      <c r="D29" s="138" t="s">
        <v>116</v>
      </c>
      <c r="E29" s="138" t="s">
        <v>116</v>
      </c>
      <c r="F29" s="138" t="s">
        <v>116</v>
      </c>
      <c r="G29" s="138" t="s">
        <v>116</v>
      </c>
      <c r="H29" s="138" t="s">
        <v>116</v>
      </c>
      <c r="I29" s="138" t="s">
        <v>116</v>
      </c>
      <c r="J29" s="138" t="s">
        <v>116</v>
      </c>
      <c r="K29" s="138" t="s">
        <v>116</v>
      </c>
      <c r="L29" s="138" t="s">
        <v>116</v>
      </c>
      <c r="M29" s="37">
        <v>10.997680881520004</v>
      </c>
      <c r="N29" s="37">
        <v>13.194166135996792</v>
      </c>
      <c r="O29" s="37">
        <v>13.522959389892316</v>
      </c>
      <c r="P29" s="37">
        <v>14.452498458065909</v>
      </c>
      <c r="Q29" s="37">
        <v>16.249144475083433</v>
      </c>
      <c r="R29" s="37">
        <v>18.83944918000924</v>
      </c>
      <c r="S29" s="37">
        <v>16.572006564745418</v>
      </c>
      <c r="T29" s="37">
        <v>17.720595866560057</v>
      </c>
      <c r="U29" s="37">
        <v>20.982996027971335</v>
      </c>
      <c r="V29" s="37">
        <v>21.210605101197064</v>
      </c>
      <c r="W29" s="37">
        <v>23.333792230721276</v>
      </c>
      <c r="X29" s="37">
        <v>23.370361238939225</v>
      </c>
      <c r="Y29" s="37">
        <v>21.943587418309964</v>
      </c>
      <c r="Z29" s="37">
        <v>25.407353920228044</v>
      </c>
      <c r="AA29" s="37">
        <v>26.685893270277852</v>
      </c>
      <c r="AB29" s="37">
        <v>28.518947348398846</v>
      </c>
      <c r="AC29" s="38">
        <v>26.318840592473979</v>
      </c>
      <c r="AD29" s="38">
        <v>39.233925854735446</v>
      </c>
      <c r="AE29" s="38">
        <v>31.216775137719772</v>
      </c>
      <c r="AF29" s="38">
        <v>38.644633488048335</v>
      </c>
      <c r="AG29" s="38">
        <v>51.954734727678769</v>
      </c>
      <c r="AH29" s="38">
        <v>48.266880060740355</v>
      </c>
      <c r="AI29" s="38">
        <v>42.114502864659414</v>
      </c>
      <c r="AJ29" s="38">
        <v>48.184077417560303</v>
      </c>
      <c r="AK29" s="38">
        <v>56.159386352439249</v>
      </c>
      <c r="AL29" s="38">
        <v>66.178252488476801</v>
      </c>
      <c r="AM29" s="123">
        <v>0.14412076933227214</v>
      </c>
      <c r="AN29" s="123">
        <v>0.1655175186974196</v>
      </c>
      <c r="AO29" s="123">
        <v>0.17840056287585115</v>
      </c>
    </row>
    <row r="30" spans="1:41" s="15" customFormat="1" ht="19.5" customHeight="1" x14ac:dyDescent="0.3">
      <c r="A30" s="11" t="s">
        <v>27</v>
      </c>
      <c r="B30" s="137" t="s">
        <v>116</v>
      </c>
      <c r="C30" s="137" t="s">
        <v>116</v>
      </c>
      <c r="D30" s="137" t="s">
        <v>116</v>
      </c>
      <c r="E30" s="137" t="s">
        <v>116</v>
      </c>
      <c r="F30" s="137" t="s">
        <v>116</v>
      </c>
      <c r="G30" s="137" t="s">
        <v>116</v>
      </c>
      <c r="H30" s="137" t="s">
        <v>116</v>
      </c>
      <c r="I30" s="137" t="s">
        <v>116</v>
      </c>
      <c r="J30" s="137" t="s">
        <v>116</v>
      </c>
      <c r="K30" s="137" t="s">
        <v>116</v>
      </c>
      <c r="L30" s="137" t="s">
        <v>116</v>
      </c>
      <c r="M30" s="35">
        <v>30.339470260881189</v>
      </c>
      <c r="N30" s="35">
        <v>31.662752193413539</v>
      </c>
      <c r="O30" s="35">
        <v>35.955621169064216</v>
      </c>
      <c r="P30" s="35">
        <v>40.932351525910228</v>
      </c>
      <c r="Q30" s="35">
        <v>43.491411881510359</v>
      </c>
      <c r="R30" s="35">
        <v>51.475256947558599</v>
      </c>
      <c r="S30" s="35">
        <v>47.092997012992328</v>
      </c>
      <c r="T30" s="35">
        <v>63.404816608049622</v>
      </c>
      <c r="U30" s="35">
        <v>71.437585552774891</v>
      </c>
      <c r="V30" s="35">
        <v>68.286763917947042</v>
      </c>
      <c r="W30" s="35">
        <v>67.059353753761044</v>
      </c>
      <c r="X30" s="35">
        <v>72.131019372910558</v>
      </c>
      <c r="Y30" s="35">
        <v>72.639252489988763</v>
      </c>
      <c r="Z30" s="35">
        <v>80.587909859627402</v>
      </c>
      <c r="AA30" s="35">
        <v>78.113664389104812</v>
      </c>
      <c r="AB30" s="35">
        <v>83.148569985080329</v>
      </c>
      <c r="AC30" s="36">
        <v>84.863123119886325</v>
      </c>
      <c r="AD30" s="36">
        <v>77.187940591159375</v>
      </c>
      <c r="AE30" s="36">
        <v>76.738036931262172</v>
      </c>
      <c r="AF30" s="36">
        <v>89.427699582805175</v>
      </c>
      <c r="AG30" s="36">
        <v>88.207419899324123</v>
      </c>
      <c r="AH30" s="36">
        <v>102.94575463658407</v>
      </c>
      <c r="AI30" s="36">
        <v>100.33813591763526</v>
      </c>
      <c r="AJ30" s="36">
        <v>96.954039397255031</v>
      </c>
      <c r="AK30" s="36">
        <v>105.97150142394078</v>
      </c>
      <c r="AL30" s="36">
        <v>110.98539370672</v>
      </c>
      <c r="AM30" s="123">
        <v>-3.3726922365372003E-2</v>
      </c>
      <c r="AN30" s="123">
        <v>9.3007594967116525E-2</v>
      </c>
      <c r="AO30" s="123">
        <v>4.7313591063705474E-2</v>
      </c>
    </row>
    <row r="31" spans="1:41" s="15" customFormat="1" ht="19.5" customHeight="1" x14ac:dyDescent="0.3">
      <c r="A31" s="16" t="s">
        <v>28</v>
      </c>
      <c r="B31" s="138" t="s">
        <v>116</v>
      </c>
      <c r="C31" s="138" t="s">
        <v>116</v>
      </c>
      <c r="D31" s="138" t="s">
        <v>116</v>
      </c>
      <c r="E31" s="138" t="s">
        <v>116</v>
      </c>
      <c r="F31" s="138" t="s">
        <v>116</v>
      </c>
      <c r="G31" s="138" t="s">
        <v>116</v>
      </c>
      <c r="H31" s="138" t="s">
        <v>116</v>
      </c>
      <c r="I31" s="138" t="s">
        <v>116</v>
      </c>
      <c r="J31" s="138" t="s">
        <v>116</v>
      </c>
      <c r="K31" s="138" t="s">
        <v>116</v>
      </c>
      <c r="L31" s="138" t="s">
        <v>116</v>
      </c>
      <c r="M31" s="37">
        <v>23.991166066310463</v>
      </c>
      <c r="N31" s="37">
        <v>23.086249942130205</v>
      </c>
      <c r="O31" s="37">
        <v>23.376690229833841</v>
      </c>
      <c r="P31" s="37">
        <v>25.742788782795124</v>
      </c>
      <c r="Q31" s="37">
        <v>26.310380272946968</v>
      </c>
      <c r="R31" s="37">
        <v>29.591727012513996</v>
      </c>
      <c r="S31" s="37">
        <v>28.265178719353564</v>
      </c>
      <c r="T31" s="37">
        <v>34.747804499566023</v>
      </c>
      <c r="U31" s="37">
        <v>39.089325404020741</v>
      </c>
      <c r="V31" s="37">
        <v>39.851997245736193</v>
      </c>
      <c r="W31" s="37">
        <v>44.010934512788261</v>
      </c>
      <c r="X31" s="37">
        <v>45.370062992042868</v>
      </c>
      <c r="Y31" s="37">
        <v>47.409962816960146</v>
      </c>
      <c r="Z31" s="37">
        <v>54.862697861951929</v>
      </c>
      <c r="AA31" s="37">
        <v>59.244386770416803</v>
      </c>
      <c r="AB31" s="37">
        <v>53.47818635152003</v>
      </c>
      <c r="AC31" s="38">
        <v>49.621627221215668</v>
      </c>
      <c r="AD31" s="38">
        <v>55.288707812940103</v>
      </c>
      <c r="AE31" s="38">
        <v>54.466889994226094</v>
      </c>
      <c r="AF31" s="38">
        <v>53.962130258819997</v>
      </c>
      <c r="AG31" s="38">
        <v>55.480584087520839</v>
      </c>
      <c r="AH31" s="38">
        <v>55.541778789528315</v>
      </c>
      <c r="AI31" s="38">
        <v>60.640470435847483</v>
      </c>
      <c r="AJ31" s="38">
        <v>68.190382915113403</v>
      </c>
      <c r="AK31" s="38">
        <v>67.8033496611923</v>
      </c>
      <c r="AL31" s="38">
        <v>69.720952469999986</v>
      </c>
      <c r="AM31" s="123">
        <v>0.12450286788677034</v>
      </c>
      <c r="AN31" s="123">
        <v>-5.6757747555531424E-3</v>
      </c>
      <c r="AO31" s="123">
        <v>2.8281830003824115E-2</v>
      </c>
    </row>
    <row r="32" spans="1:41" s="15" customFormat="1" ht="19.5" customHeight="1" x14ac:dyDescent="0.3">
      <c r="A32" s="11" t="s">
        <v>29</v>
      </c>
      <c r="B32" s="137" t="s">
        <v>116</v>
      </c>
      <c r="C32" s="137" t="s">
        <v>116</v>
      </c>
      <c r="D32" s="137" t="s">
        <v>116</v>
      </c>
      <c r="E32" s="137" t="s">
        <v>116</v>
      </c>
      <c r="F32" s="137" t="s">
        <v>116</v>
      </c>
      <c r="G32" s="137" t="s">
        <v>116</v>
      </c>
      <c r="H32" s="137" t="s">
        <v>116</v>
      </c>
      <c r="I32" s="137" t="s">
        <v>116</v>
      </c>
      <c r="J32" s="137" t="s">
        <v>116</v>
      </c>
      <c r="K32" s="137" t="s">
        <v>116</v>
      </c>
      <c r="L32" s="137" t="s">
        <v>116</v>
      </c>
      <c r="M32" s="35">
        <v>9.3803968451132178</v>
      </c>
      <c r="N32" s="35">
        <v>9.2436103791752338</v>
      </c>
      <c r="O32" s="35">
        <v>9.5234950338810513</v>
      </c>
      <c r="P32" s="35">
        <v>11.519797760325938</v>
      </c>
      <c r="Q32" s="35">
        <v>11.67544758099071</v>
      </c>
      <c r="R32" s="35">
        <v>11.754817930275092</v>
      </c>
      <c r="S32" s="35">
        <v>11.16588923583396</v>
      </c>
      <c r="T32" s="35">
        <v>11.866982116026483</v>
      </c>
      <c r="U32" s="35">
        <v>12.810148136853234</v>
      </c>
      <c r="V32" s="35">
        <v>12.778648007178477</v>
      </c>
      <c r="W32" s="35">
        <v>12.428686044882692</v>
      </c>
      <c r="X32" s="35">
        <v>14.64519967149938</v>
      </c>
      <c r="Y32" s="35">
        <v>17.16776110023266</v>
      </c>
      <c r="Z32" s="35">
        <v>20.191503691029297</v>
      </c>
      <c r="AA32" s="35">
        <v>22.685946287174019</v>
      </c>
      <c r="AB32" s="35">
        <v>23.098245602315124</v>
      </c>
      <c r="AC32" s="36">
        <v>24.902118696108197</v>
      </c>
      <c r="AD32" s="36">
        <v>20.521346845996028</v>
      </c>
      <c r="AE32" s="36">
        <v>18.667338323274983</v>
      </c>
      <c r="AF32" s="36">
        <v>18.902995381633787</v>
      </c>
      <c r="AG32" s="36">
        <v>20.759253043751038</v>
      </c>
      <c r="AH32" s="36">
        <v>19.453559140164565</v>
      </c>
      <c r="AI32" s="36">
        <v>21.584339934429721</v>
      </c>
      <c r="AJ32" s="36">
        <v>26.596534662935426</v>
      </c>
      <c r="AK32" s="36">
        <v>26.172820697293492</v>
      </c>
      <c r="AL32" s="36">
        <v>24.815940837857141</v>
      </c>
      <c r="AM32" s="123">
        <v>0.2322144083966462</v>
      </c>
      <c r="AN32" s="123">
        <v>-1.5931171899338348E-2</v>
      </c>
      <c r="AO32" s="123">
        <v>-5.1843088489757827E-2</v>
      </c>
    </row>
    <row r="33" spans="1:62" s="10" customFormat="1" ht="19.5" customHeight="1" thickBot="1" x14ac:dyDescent="0.35">
      <c r="A33" s="39" t="s">
        <v>30</v>
      </c>
      <c r="B33" s="141" t="s">
        <v>116</v>
      </c>
      <c r="C33" s="141" t="s">
        <v>116</v>
      </c>
      <c r="D33" s="141" t="s">
        <v>116</v>
      </c>
      <c r="E33" s="141" t="s">
        <v>116</v>
      </c>
      <c r="F33" s="141" t="s">
        <v>116</v>
      </c>
      <c r="G33" s="141" t="s">
        <v>116</v>
      </c>
      <c r="H33" s="141" t="s">
        <v>116</v>
      </c>
      <c r="I33" s="141" t="s">
        <v>116</v>
      </c>
      <c r="J33" s="141" t="s">
        <v>116</v>
      </c>
      <c r="K33" s="141" t="s">
        <v>116</v>
      </c>
      <c r="L33" s="141" t="s">
        <v>116</v>
      </c>
      <c r="M33" s="40">
        <v>135.44747247455317</v>
      </c>
      <c r="N33" s="40">
        <v>144.32781274166013</v>
      </c>
      <c r="O33" s="40">
        <v>153.62808791296504</v>
      </c>
      <c r="P33" s="40">
        <v>164.55656084512117</v>
      </c>
      <c r="Q33" s="40">
        <v>178.63263854878898</v>
      </c>
      <c r="R33" s="40">
        <v>190.20965760282368</v>
      </c>
      <c r="S33" s="40">
        <v>184.64865613469499</v>
      </c>
      <c r="T33" s="40">
        <v>216.3690134273624</v>
      </c>
      <c r="U33" s="40">
        <v>242.17669088924796</v>
      </c>
      <c r="V33" s="40">
        <v>238.96398755035321</v>
      </c>
      <c r="W33" s="40">
        <v>248.92703073209509</v>
      </c>
      <c r="X33" s="40">
        <v>263.44619226742526</v>
      </c>
      <c r="Y33" s="40">
        <v>268.6988232155731</v>
      </c>
      <c r="Z33" s="40">
        <v>299.75019471356075</v>
      </c>
      <c r="AA33" s="40">
        <v>323.09540562208593</v>
      </c>
      <c r="AB33" s="40">
        <v>329.3026405499582</v>
      </c>
      <c r="AC33" s="41">
        <v>317.74329308346955</v>
      </c>
      <c r="AD33" s="41">
        <v>321.8040014071068</v>
      </c>
      <c r="AE33" s="41">
        <v>311.52940830550972</v>
      </c>
      <c r="AF33" s="41">
        <v>340.61042158649252</v>
      </c>
      <c r="AG33" s="41">
        <v>376.61553311609913</v>
      </c>
      <c r="AH33" s="41">
        <v>389.58355258604922</v>
      </c>
      <c r="AI33" s="41">
        <v>384.09766922111214</v>
      </c>
      <c r="AJ33" s="41">
        <v>392.12430154127469</v>
      </c>
      <c r="AK33" s="41">
        <v>425.24543460895467</v>
      </c>
      <c r="AL33" s="41">
        <v>477.1417678234925</v>
      </c>
      <c r="AM33" s="123">
        <v>2.0897373151051113E-2</v>
      </c>
      <c r="AN33" s="123">
        <v>8.4465902616835509E-2</v>
      </c>
      <c r="AO33" s="123">
        <v>0.12203854289996174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</row>
    <row r="34" spans="1:62" s="10" customFormat="1" ht="19.5" customHeight="1" thickTop="1" thickBot="1" x14ac:dyDescent="0.35">
      <c r="A34" s="42" t="s">
        <v>31</v>
      </c>
      <c r="B34" s="43">
        <v>296.86105675574487</v>
      </c>
      <c r="C34" s="43">
        <v>262.03020698325008</v>
      </c>
      <c r="D34" s="43">
        <v>260.59086236674483</v>
      </c>
      <c r="E34" s="43">
        <v>281.23049731402762</v>
      </c>
      <c r="F34" s="43">
        <v>271.59612910648394</v>
      </c>
      <c r="G34" s="43">
        <v>286.07574431969272</v>
      </c>
      <c r="H34" s="43">
        <v>266.53076680260352</v>
      </c>
      <c r="I34" s="43">
        <v>245.2713065186837</v>
      </c>
      <c r="J34" s="43">
        <v>296.58298011928082</v>
      </c>
      <c r="K34" s="43">
        <v>308.75725668267239</v>
      </c>
      <c r="L34" s="43">
        <v>308.64476958861559</v>
      </c>
      <c r="M34" s="43">
        <v>420.43600063749818</v>
      </c>
      <c r="N34" s="43">
        <v>460.89736223627273</v>
      </c>
      <c r="O34" s="43">
        <v>531.78134325612018</v>
      </c>
      <c r="P34" s="43">
        <v>593.75761724232302</v>
      </c>
      <c r="Q34" s="43">
        <v>604.69123847849551</v>
      </c>
      <c r="R34" s="43">
        <v>550.42298230423773</v>
      </c>
      <c r="S34" s="43">
        <v>547.06254632332593</v>
      </c>
      <c r="T34" s="43">
        <v>625.64945112196278</v>
      </c>
      <c r="U34" s="43">
        <v>712.13169217258076</v>
      </c>
      <c r="V34" s="43">
        <v>685.35899513701099</v>
      </c>
      <c r="W34" s="43">
        <v>711.88798844386963</v>
      </c>
      <c r="X34" s="43">
        <v>801.11811457023782</v>
      </c>
      <c r="Y34" s="43">
        <v>835.60879588449961</v>
      </c>
      <c r="Z34" s="43">
        <v>916.55186462426832</v>
      </c>
      <c r="AA34" s="43">
        <v>947.83273399882637</v>
      </c>
      <c r="AB34" s="43">
        <v>956.30674877454271</v>
      </c>
      <c r="AC34" s="44">
        <v>952.67601912732118</v>
      </c>
      <c r="AD34" s="44">
        <v>959.37288399373006</v>
      </c>
      <c r="AE34" s="44">
        <v>927.38517398060867</v>
      </c>
      <c r="AF34" s="44">
        <v>947.60977452646898</v>
      </c>
      <c r="AG34" s="44">
        <v>1116.5619791401398</v>
      </c>
      <c r="AH34" s="44">
        <v>1226.8508256161961</v>
      </c>
      <c r="AI34" s="44">
        <v>1226.0825899836145</v>
      </c>
      <c r="AJ34" s="44">
        <v>1267.491432110266</v>
      </c>
      <c r="AK34" s="44">
        <v>1272.3513031034925</v>
      </c>
      <c r="AL34" s="44">
        <v>1418.9779373216977</v>
      </c>
      <c r="AM34" s="123">
        <v>3.3773289389261274E-2</v>
      </c>
      <c r="AN34" s="123">
        <v>3.8342436643814537E-3</v>
      </c>
      <c r="AO34" s="123">
        <v>0.11524068381158314</v>
      </c>
    </row>
    <row r="35" spans="1:62" s="30" customFormat="1" ht="15" thickTop="1" x14ac:dyDescent="0.2">
      <c r="A35" s="148" t="s">
        <v>128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28"/>
    </row>
    <row r="36" spans="1:62" s="30" customFormat="1" ht="14.25" x14ac:dyDescent="0.2">
      <c r="A36" s="142" t="s">
        <v>129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28"/>
    </row>
    <row r="37" spans="1:62" s="30" customFormat="1" ht="29.25" customHeight="1" x14ac:dyDescent="0.2">
      <c r="A37" s="142" t="s">
        <v>122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28"/>
    </row>
    <row r="38" spans="1:62" s="2" customFormat="1" ht="30.75" customHeight="1" x14ac:dyDescent="0.25">
      <c r="A38" s="142" t="s">
        <v>32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28"/>
    </row>
    <row r="39" spans="1:62" s="2" customFormat="1" ht="14.25" customHeight="1" x14ac:dyDescent="0.25">
      <c r="A39" s="142" t="s">
        <v>33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28"/>
    </row>
    <row r="40" spans="1:62" s="2" customFormat="1" ht="14.25" x14ac:dyDescent="0.25">
      <c r="A40" s="143" t="s">
        <v>34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31"/>
    </row>
    <row r="41" spans="1:62" s="2" customFormat="1" ht="14.25" x14ac:dyDescent="0.25">
      <c r="A41" s="30" t="s">
        <v>130</v>
      </c>
      <c r="B41" s="30"/>
      <c r="C41" s="30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</row>
    <row r="42" spans="1:62" s="2" customFormat="1" ht="14.25" x14ac:dyDescent="0.25">
      <c r="A42" s="30" t="s">
        <v>131</v>
      </c>
      <c r="B42" s="30"/>
      <c r="C42" s="30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</row>
    <row r="43" spans="1:62" s="2" customFormat="1" ht="14.25" x14ac:dyDescent="0.25">
      <c r="A43" s="30" t="s">
        <v>135</v>
      </c>
      <c r="B43" s="131"/>
      <c r="C43" s="30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</row>
    <row r="44" spans="1:62" s="2" customFormat="1" ht="14.25" x14ac:dyDescent="0.25">
      <c r="A44" s="131" t="s">
        <v>35</v>
      </c>
      <c r="B44" s="131"/>
      <c r="C44" s="30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</row>
    <row r="45" spans="1:62" s="2" customFormat="1" ht="14.25" x14ac:dyDescent="0.25">
      <c r="A45" s="131" t="s">
        <v>36</v>
      </c>
      <c r="B45" s="131"/>
      <c r="C45" s="30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</row>
    <row r="46" spans="1:62" s="2" customFormat="1" ht="14.25" x14ac:dyDescent="0.25">
      <c r="A46" s="131" t="s">
        <v>123</v>
      </c>
      <c r="B46" s="131"/>
      <c r="C46" s="30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</row>
    <row r="47" spans="1:62" ht="17.25" customHeight="1" x14ac:dyDescent="0.3">
      <c r="A47" s="147" t="s">
        <v>37</v>
      </c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28"/>
      <c r="AM47" s="3"/>
      <c r="AN47" s="3"/>
      <c r="AO47" s="3"/>
    </row>
  </sheetData>
  <mergeCells count="8">
    <mergeCell ref="A2:AI2"/>
    <mergeCell ref="A47:AK47"/>
    <mergeCell ref="A39:AK39"/>
    <mergeCell ref="A40:AK40"/>
    <mergeCell ref="A38:AK38"/>
    <mergeCell ref="A37:AK37"/>
    <mergeCell ref="A36:AK36"/>
    <mergeCell ref="A35:AK35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3"/>
  <sheetViews>
    <sheetView showGridLines="0" zoomScale="80" zoomScaleNormal="80" workbookViewId="0">
      <selection activeCell="A2" sqref="A2"/>
    </sheetView>
  </sheetViews>
  <sheetFormatPr defaultColWidth="8.85546875" defaultRowHeight="17.25" x14ac:dyDescent="0.3"/>
  <cols>
    <col min="1" max="1" width="17.28515625" style="3" customWidth="1"/>
    <col min="2" max="2" width="17.85546875" style="3" bestFit="1" customWidth="1"/>
    <col min="3" max="3" width="10.5703125" style="3" bestFit="1" customWidth="1"/>
    <col min="4" max="16384" width="8.85546875" style="3"/>
  </cols>
  <sheetData>
    <row r="1" spans="1:13" ht="18" customHeight="1" x14ac:dyDescent="0.3">
      <c r="A1" s="124" t="s">
        <v>82</v>
      </c>
      <c r="B1" s="124"/>
      <c r="C1" s="124"/>
      <c r="D1" s="125"/>
      <c r="E1" s="125"/>
      <c r="F1" s="125"/>
      <c r="G1" s="125"/>
      <c r="H1" s="125"/>
      <c r="I1" s="125"/>
      <c r="J1" s="125"/>
      <c r="K1" s="125"/>
      <c r="L1" s="125"/>
      <c r="M1" s="15"/>
    </row>
    <row r="2" spans="1:13" ht="18" customHeight="1" x14ac:dyDescent="0.3">
      <c r="A2" s="124" t="s">
        <v>83</v>
      </c>
      <c r="B2" s="124"/>
      <c r="C2" s="124"/>
      <c r="D2" s="125"/>
      <c r="E2" s="125"/>
      <c r="F2" s="125"/>
      <c r="G2" s="125"/>
      <c r="H2" s="125"/>
      <c r="I2" s="125"/>
      <c r="J2" s="125"/>
      <c r="K2" s="125"/>
      <c r="L2" s="125"/>
      <c r="M2" s="15"/>
    </row>
    <row r="3" spans="1:13" x14ac:dyDescent="0.3">
      <c r="A3" s="110"/>
    </row>
    <row r="4" spans="1:13" ht="35.25" thickBot="1" x14ac:dyDescent="0.35">
      <c r="A4" s="111" t="s">
        <v>84</v>
      </c>
      <c r="B4" s="112" t="s">
        <v>85</v>
      </c>
      <c r="C4" s="113" t="s">
        <v>86</v>
      </c>
    </row>
    <row r="5" spans="1:13" ht="16.5" customHeight="1" thickTop="1" x14ac:dyDescent="0.3">
      <c r="A5" s="114">
        <v>1990</v>
      </c>
      <c r="B5" s="115">
        <v>100</v>
      </c>
      <c r="C5" s="116" t="s">
        <v>116</v>
      </c>
    </row>
    <row r="6" spans="1:13" ht="16.5" customHeight="1" x14ac:dyDescent="0.3">
      <c r="A6" s="117">
        <v>1991</v>
      </c>
      <c r="B6" s="118">
        <v>100.27530507723812</v>
      </c>
      <c r="C6" s="119">
        <v>0.27530507723811581</v>
      </c>
    </row>
    <row r="7" spans="1:13" ht="16.5" customHeight="1" x14ac:dyDescent="0.3">
      <c r="A7" s="120">
        <v>1992</v>
      </c>
      <c r="B7" s="115">
        <v>106.20337614689583</v>
      </c>
      <c r="C7" s="121">
        <v>5.911795596225371</v>
      </c>
    </row>
    <row r="8" spans="1:13" ht="16.5" customHeight="1" x14ac:dyDescent="0.3">
      <c r="A8" s="117">
        <v>1993</v>
      </c>
      <c r="B8" s="118">
        <v>104.57013107177708</v>
      </c>
      <c r="C8" s="119">
        <v>-1.5378466621058433</v>
      </c>
    </row>
    <row r="9" spans="1:13" ht="16.5" customHeight="1" x14ac:dyDescent="0.3">
      <c r="A9" s="120">
        <v>1994</v>
      </c>
      <c r="B9" s="115">
        <v>114.16378114998278</v>
      </c>
      <c r="C9" s="121">
        <v>9.1743693728571518</v>
      </c>
    </row>
    <row r="10" spans="1:13" ht="16.5" customHeight="1" x14ac:dyDescent="0.3">
      <c r="A10" s="117">
        <v>1995</v>
      </c>
      <c r="B10" s="118">
        <v>115.0243365219558</v>
      </c>
      <c r="C10" s="119">
        <v>0.75379018047980173</v>
      </c>
    </row>
    <row r="11" spans="1:13" ht="16.5" customHeight="1" x14ac:dyDescent="0.3">
      <c r="A11" s="120">
        <v>1996</v>
      </c>
      <c r="B11" s="115">
        <v>106.55186735424465</v>
      </c>
      <c r="C11" s="121">
        <v>-7.3658057276374134</v>
      </c>
    </row>
    <row r="12" spans="1:13" ht="16.5" customHeight="1" x14ac:dyDescent="0.3">
      <c r="A12" s="117">
        <v>1997</v>
      </c>
      <c r="B12" s="118">
        <v>114.03726174297621</v>
      </c>
      <c r="C12" s="119">
        <v>7.0251179773747747</v>
      </c>
    </row>
    <row r="13" spans="1:13" ht="16.5" customHeight="1" x14ac:dyDescent="0.3">
      <c r="A13" s="120">
        <v>1998</v>
      </c>
      <c r="B13" s="115">
        <v>117.31915303619954</v>
      </c>
      <c r="C13" s="121">
        <v>2.8779113449954994</v>
      </c>
    </row>
    <row r="14" spans="1:13" ht="16.5" customHeight="1" x14ac:dyDescent="0.3">
      <c r="A14" s="117">
        <v>1999</v>
      </c>
      <c r="B14" s="118">
        <v>124.73428473228039</v>
      </c>
      <c r="C14" s="119">
        <v>6.3204783738873953</v>
      </c>
    </row>
    <row r="15" spans="1:13" ht="16.5" customHeight="1" x14ac:dyDescent="0.3">
      <c r="A15" s="120">
        <v>2000</v>
      </c>
      <c r="B15" s="115">
        <v>128.2930427050309</v>
      </c>
      <c r="C15" s="121">
        <v>2.8530712148538346</v>
      </c>
    </row>
    <row r="16" spans="1:13" ht="16.5" customHeight="1" x14ac:dyDescent="0.3">
      <c r="A16" s="117">
        <v>2001</v>
      </c>
      <c r="B16" s="118">
        <v>136.97467822597082</v>
      </c>
      <c r="C16" s="119">
        <v>6.7670353262262122</v>
      </c>
    </row>
    <row r="17" spans="1:3" ht="16.5" customHeight="1" x14ac:dyDescent="0.3">
      <c r="A17" s="120">
        <v>2002</v>
      </c>
      <c r="B17" s="115">
        <v>139.51013982605832</v>
      </c>
      <c r="C17" s="121">
        <v>1.8510440272067528</v>
      </c>
    </row>
    <row r="18" spans="1:3" ht="16.5" customHeight="1" x14ac:dyDescent="0.3">
      <c r="A18" s="117">
        <v>2003</v>
      </c>
      <c r="B18" s="118">
        <v>153.86772745036896</v>
      </c>
      <c r="C18" s="119">
        <v>10.291429456103854</v>
      </c>
    </row>
    <row r="19" spans="1:3" ht="16.5" customHeight="1" x14ac:dyDescent="0.3">
      <c r="A19" s="120">
        <v>2004</v>
      </c>
      <c r="B19" s="115">
        <v>159.64137908018984</v>
      </c>
      <c r="C19" s="121">
        <v>3.7523473736123156</v>
      </c>
    </row>
    <row r="20" spans="1:3" ht="16.5" customHeight="1" x14ac:dyDescent="0.3">
      <c r="A20" s="117">
        <v>2005</v>
      </c>
      <c r="B20" s="118">
        <v>157.13592812127436</v>
      </c>
      <c r="C20" s="119">
        <v>-1.5694245272442526</v>
      </c>
    </row>
    <row r="21" spans="1:3" ht="16.5" customHeight="1" x14ac:dyDescent="0.3">
      <c r="A21" s="120">
        <v>2006</v>
      </c>
      <c r="B21" s="115">
        <v>164.85795860548876</v>
      </c>
      <c r="C21" s="121">
        <v>4.9142360862594661</v>
      </c>
    </row>
    <row r="22" spans="1:3" ht="16.5" customHeight="1" x14ac:dyDescent="0.3">
      <c r="A22" s="117">
        <v>2007</v>
      </c>
      <c r="B22" s="118">
        <v>180.78064006776765</v>
      </c>
      <c r="C22" s="119">
        <v>9.6584244988635692</v>
      </c>
    </row>
    <row r="23" spans="1:3" ht="16.5" customHeight="1" x14ac:dyDescent="0.3">
      <c r="A23" s="120">
        <v>2008</v>
      </c>
      <c r="B23" s="115">
        <v>196.90957977720942</v>
      </c>
      <c r="C23" s="121">
        <v>8.9218290760535268</v>
      </c>
    </row>
    <row r="24" spans="1:3" ht="16.5" customHeight="1" x14ac:dyDescent="0.3">
      <c r="A24" s="117">
        <v>2009</v>
      </c>
      <c r="B24" s="118">
        <v>190.30947676981953</v>
      </c>
      <c r="C24" s="119">
        <v>-3.3518445445150431</v>
      </c>
    </row>
    <row r="25" spans="1:3" ht="16.5" customHeight="1" x14ac:dyDescent="0.3">
      <c r="A25" s="120">
        <v>2010</v>
      </c>
      <c r="B25" s="115">
        <v>203.58132140625628</v>
      </c>
      <c r="C25" s="121">
        <v>6.9738222508430994</v>
      </c>
    </row>
    <row r="26" spans="1:3" ht="16.5" customHeight="1" x14ac:dyDescent="0.3">
      <c r="A26" s="117">
        <v>2011</v>
      </c>
      <c r="B26" s="118">
        <v>217.04060018402259</v>
      </c>
      <c r="C26" s="119">
        <v>6.6112542569205939</v>
      </c>
    </row>
    <row r="27" spans="1:3" ht="16.5" customHeight="1" x14ac:dyDescent="0.3">
      <c r="A27" s="120">
        <v>2012</v>
      </c>
      <c r="B27" s="115">
        <v>210.93205316011404</v>
      </c>
      <c r="C27" s="121">
        <v>-2.8144720475013858</v>
      </c>
    </row>
    <row r="28" spans="1:3" ht="16.5" customHeight="1" x14ac:dyDescent="0.3">
      <c r="A28" s="117">
        <v>2013</v>
      </c>
      <c r="B28" s="118">
        <v>228.00911847668428</v>
      </c>
      <c r="C28" s="119">
        <v>8.0960029832959552</v>
      </c>
    </row>
    <row r="29" spans="1:3" ht="16.5" customHeight="1" x14ac:dyDescent="0.3">
      <c r="A29" s="120">
        <v>2014</v>
      </c>
      <c r="B29" s="115">
        <v>232.56171197227314</v>
      </c>
      <c r="C29" s="121">
        <v>1.9966716796260078</v>
      </c>
    </row>
    <row r="30" spans="1:3" ht="16.5" customHeight="1" x14ac:dyDescent="0.3">
      <c r="A30" s="117">
        <v>2015</v>
      </c>
      <c r="B30" s="118">
        <v>242.31800918291268</v>
      </c>
      <c r="C30" s="119">
        <v>4.1951433569609735</v>
      </c>
    </row>
    <row r="31" spans="1:3" ht="16.5" customHeight="1" x14ac:dyDescent="0.3">
      <c r="A31" s="120">
        <v>2016</v>
      </c>
      <c r="B31" s="115">
        <v>228.23864268484809</v>
      </c>
      <c r="C31" s="121">
        <v>-5.8102848176822217</v>
      </c>
    </row>
    <row r="32" spans="1:3" ht="16.5" customHeight="1" x14ac:dyDescent="0.3">
      <c r="A32" s="117">
        <v>2017</v>
      </c>
      <c r="B32" s="118">
        <v>253.8258521235316</v>
      </c>
      <c r="C32" s="119">
        <v>11.210726254630918</v>
      </c>
    </row>
    <row r="33" spans="1:12" ht="16.5" customHeight="1" x14ac:dyDescent="0.3">
      <c r="A33" s="120">
        <v>2018</v>
      </c>
      <c r="B33" s="115">
        <v>245.13449547955108</v>
      </c>
      <c r="C33" s="121">
        <v>-3.4241416196450429</v>
      </c>
    </row>
    <row r="34" spans="1:12" ht="16.5" customHeight="1" x14ac:dyDescent="0.3">
      <c r="A34" s="117">
        <v>2019</v>
      </c>
      <c r="B34" s="118">
        <v>248.61895382494558</v>
      </c>
      <c r="C34" s="119">
        <v>1.421447576595833</v>
      </c>
    </row>
    <row r="35" spans="1:12" ht="16.5" customHeight="1" x14ac:dyDescent="0.3">
      <c r="A35" s="120">
        <v>2020</v>
      </c>
      <c r="B35" s="115">
        <v>258.84777688038417</v>
      </c>
      <c r="C35" s="121">
        <v>4.1142571385127722</v>
      </c>
    </row>
    <row r="36" spans="1:12" ht="16.5" customHeight="1" x14ac:dyDescent="0.3">
      <c r="A36" s="117">
        <v>2021</v>
      </c>
      <c r="B36" s="118">
        <v>254.98782385273259</v>
      </c>
      <c r="C36" s="119">
        <v>-1.4912057867258806</v>
      </c>
    </row>
    <row r="37" spans="1:12" ht="16.5" customHeight="1" x14ac:dyDescent="0.3">
      <c r="A37" s="120">
        <v>2022</v>
      </c>
      <c r="B37" s="115">
        <v>256.90396455429726</v>
      </c>
      <c r="C37" s="121">
        <v>0.75146360818833946</v>
      </c>
    </row>
    <row r="38" spans="1:12" ht="16.5" customHeight="1" x14ac:dyDescent="0.3">
      <c r="A38" s="117">
        <v>2023</v>
      </c>
      <c r="B38" s="118">
        <v>298.26925574804238</v>
      </c>
      <c r="C38" s="119">
        <v>16.101460818446213</v>
      </c>
    </row>
    <row r="39" spans="1:12" ht="16.5" customHeight="1" x14ac:dyDescent="0.3">
      <c r="A39" s="120">
        <v>2024</v>
      </c>
      <c r="B39" s="115">
        <v>285.79931953769926</v>
      </c>
      <c r="C39" s="121">
        <v>-4.1807648525722936</v>
      </c>
    </row>
    <row r="40" spans="1:12" ht="16.5" customHeight="1" x14ac:dyDescent="0.3">
      <c r="A40" s="117">
        <v>2025</v>
      </c>
      <c r="B40" s="118">
        <v>305.95867200640316</v>
      </c>
      <c r="C40" s="119">
        <v>7.0536740609855499</v>
      </c>
    </row>
    <row r="41" spans="1:12" x14ac:dyDescent="0.3">
      <c r="A41" s="149" t="s">
        <v>87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</row>
    <row r="42" spans="1:12" x14ac:dyDescent="0.3">
      <c r="A42" s="149" t="s">
        <v>133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</row>
    <row r="43" spans="1:12" x14ac:dyDescent="0.3">
      <c r="A43" s="149" t="s">
        <v>88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</row>
  </sheetData>
  <mergeCells count="3">
    <mergeCell ref="A43:L43"/>
    <mergeCell ref="A42:L42"/>
    <mergeCell ref="A41:L41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8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34"/>
  <sheetViews>
    <sheetView showGridLines="0" zoomScale="80" zoomScaleNormal="80" workbookViewId="0">
      <selection activeCell="A4" sqref="A4"/>
    </sheetView>
  </sheetViews>
  <sheetFormatPr defaultColWidth="9.140625" defaultRowHeight="17.45" customHeight="1" x14ac:dyDescent="0.3"/>
  <cols>
    <col min="1" max="1" width="27.28515625" style="3" customWidth="1"/>
    <col min="2" max="7" width="20.5703125" style="3" bestFit="1" customWidth="1"/>
    <col min="8" max="8" width="10.140625" style="3" bestFit="1" customWidth="1"/>
    <col min="9" max="9" width="10.28515625" style="3" bestFit="1" customWidth="1"/>
    <col min="10" max="10" width="9.5703125" style="3" bestFit="1" customWidth="1"/>
    <col min="11" max="11" width="9.140625" style="3" bestFit="1" customWidth="1"/>
    <col min="12" max="12" width="10.28515625" style="3" bestFit="1" customWidth="1"/>
    <col min="13" max="16384" width="9.140625" style="3"/>
  </cols>
  <sheetData>
    <row r="1" spans="1:12" ht="17.45" customHeight="1" x14ac:dyDescent="0.3">
      <c r="A1" s="150" t="s">
        <v>89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2" ht="17.45" customHeight="1" x14ac:dyDescent="0.3">
      <c r="B2" s="151" t="s">
        <v>90</v>
      </c>
      <c r="C2" s="151"/>
      <c r="D2" s="151"/>
      <c r="E2" s="151"/>
      <c r="F2" s="151"/>
      <c r="G2" s="151"/>
      <c r="H2" s="151" t="s">
        <v>91</v>
      </c>
      <c r="I2" s="151"/>
      <c r="J2" s="151"/>
      <c r="K2" s="151"/>
      <c r="L2" s="151"/>
    </row>
    <row r="3" spans="1:12" s="10" customFormat="1" ht="19.5" customHeight="1" thickBot="1" x14ac:dyDescent="0.35">
      <c r="A3" s="63" t="s">
        <v>3</v>
      </c>
      <c r="B3" s="64">
        <v>45475</v>
      </c>
      <c r="C3" s="65">
        <v>45506</v>
      </c>
      <c r="D3" s="65">
        <v>45537</v>
      </c>
      <c r="E3" s="65">
        <v>45567</v>
      </c>
      <c r="F3" s="65">
        <v>45598</v>
      </c>
      <c r="G3" s="66">
        <v>45627</v>
      </c>
      <c r="H3" s="64" t="s">
        <v>117</v>
      </c>
      <c r="I3" s="65" t="s">
        <v>118</v>
      </c>
      <c r="J3" s="65" t="s">
        <v>125</v>
      </c>
      <c r="K3" s="67" t="s">
        <v>126</v>
      </c>
      <c r="L3" s="66" t="s">
        <v>127</v>
      </c>
    </row>
    <row r="4" spans="1:12" s="15" customFormat="1" ht="19.5" customHeight="1" thickTop="1" x14ac:dyDescent="0.3">
      <c r="A4" s="68" t="s">
        <v>92</v>
      </c>
      <c r="B4" s="69">
        <v>34377981974.163483</v>
      </c>
      <c r="C4" s="70">
        <v>34504204931.257401</v>
      </c>
      <c r="D4" s="70">
        <v>34573686137.713875</v>
      </c>
      <c r="E4" s="70">
        <v>34675070696.537216</v>
      </c>
      <c r="F4" s="70">
        <v>34450130963.038681</v>
      </c>
      <c r="G4" s="71">
        <v>34355274817.067638</v>
      </c>
      <c r="H4" s="72">
        <v>0.36716220628882912</v>
      </c>
      <c r="I4" s="73">
        <v>0.2013702579001686</v>
      </c>
      <c r="J4" s="73">
        <v>0.29324197142157615</v>
      </c>
      <c r="K4" s="74">
        <v>-0.64870735366949761</v>
      </c>
      <c r="L4" s="75">
        <v>-0.27534335376783181</v>
      </c>
    </row>
    <row r="5" spans="1:12" s="15" customFormat="1" ht="19.5" customHeight="1" x14ac:dyDescent="0.3">
      <c r="A5" s="76" t="s">
        <v>8</v>
      </c>
      <c r="B5" s="77">
        <v>4945536770.8069372</v>
      </c>
      <c r="C5" s="78">
        <v>5033045938.8929853</v>
      </c>
      <c r="D5" s="78">
        <v>4310860206.7407732</v>
      </c>
      <c r="E5" s="78">
        <v>4455893175.13904</v>
      </c>
      <c r="F5" s="78">
        <v>4433446102.9434462</v>
      </c>
      <c r="G5" s="79">
        <v>4411064035.1451998</v>
      </c>
      <c r="H5" s="80">
        <v>1.7694574348856795</v>
      </c>
      <c r="I5" s="81">
        <v>-14.348880199393854</v>
      </c>
      <c r="J5" s="81">
        <v>3.3643625968543978</v>
      </c>
      <c r="K5" s="82">
        <v>-0.50376145282911011</v>
      </c>
      <c r="L5" s="83">
        <v>-0.50484583050162124</v>
      </c>
    </row>
    <row r="6" spans="1:12" s="15" customFormat="1" ht="19.5" customHeight="1" x14ac:dyDescent="0.3">
      <c r="A6" s="68" t="s">
        <v>9</v>
      </c>
      <c r="B6" s="69">
        <v>25057353761.802902</v>
      </c>
      <c r="C6" s="70">
        <v>25180911807.340134</v>
      </c>
      <c r="D6" s="70">
        <v>25362123973.808056</v>
      </c>
      <c r="E6" s="70">
        <v>25504986347.788227</v>
      </c>
      <c r="F6" s="70">
        <v>25452564423.468521</v>
      </c>
      <c r="G6" s="71">
        <v>25150918030.69157</v>
      </c>
      <c r="H6" s="84">
        <v>0.49310093440746439</v>
      </c>
      <c r="I6" s="85">
        <v>0.71964100368715478</v>
      </c>
      <c r="J6" s="85">
        <v>0.563290259631688</v>
      </c>
      <c r="K6" s="86">
        <v>-0.2055359826697245</v>
      </c>
      <c r="L6" s="87">
        <v>-1.185131634511527</v>
      </c>
    </row>
    <row r="7" spans="1:12" s="15" customFormat="1" ht="19.5" customHeight="1" x14ac:dyDescent="0.3">
      <c r="A7" s="76" t="s">
        <v>10</v>
      </c>
      <c r="B7" s="77">
        <v>23298628470.702953</v>
      </c>
      <c r="C7" s="78">
        <v>23276124542.067635</v>
      </c>
      <c r="D7" s="78">
        <v>22962547248.174534</v>
      </c>
      <c r="E7" s="78">
        <v>22599009939.028618</v>
      </c>
      <c r="F7" s="78">
        <v>22699679587.854256</v>
      </c>
      <c r="G7" s="79">
        <v>22367460056.43539</v>
      </c>
      <c r="H7" s="80">
        <v>-9.658907031208086E-2</v>
      </c>
      <c r="I7" s="81">
        <v>-1.3472057744250421</v>
      </c>
      <c r="J7" s="81">
        <v>-1.5831750076194862</v>
      </c>
      <c r="K7" s="82">
        <v>0.44546043874151842</v>
      </c>
      <c r="L7" s="83">
        <v>-1.4635428228538694</v>
      </c>
    </row>
    <row r="8" spans="1:12" s="15" customFormat="1" ht="19.5" customHeight="1" x14ac:dyDescent="0.3">
      <c r="A8" s="68" t="s">
        <v>11</v>
      </c>
      <c r="B8" s="69">
        <v>17338063572.023067</v>
      </c>
      <c r="C8" s="70">
        <v>17024087382.31831</v>
      </c>
      <c r="D8" s="70">
        <v>17423145436.233669</v>
      </c>
      <c r="E8" s="70">
        <v>17153545143.703604</v>
      </c>
      <c r="F8" s="70">
        <v>16704243497.177755</v>
      </c>
      <c r="G8" s="71">
        <v>16062572891.72971</v>
      </c>
      <c r="H8" s="84">
        <v>-1.8109069008801715</v>
      </c>
      <c r="I8" s="85">
        <v>2.3440789802913642</v>
      </c>
      <c r="J8" s="85">
        <v>-1.5473686626606309</v>
      </c>
      <c r="K8" s="86">
        <v>-2.6192932292527837</v>
      </c>
      <c r="L8" s="87">
        <v>-3.8413628582249726</v>
      </c>
    </row>
    <row r="9" spans="1:12" s="15" customFormat="1" ht="19.5" customHeight="1" x14ac:dyDescent="0.3">
      <c r="A9" s="76" t="s">
        <v>12</v>
      </c>
      <c r="B9" s="77">
        <v>10115400473.68815</v>
      </c>
      <c r="C9" s="78">
        <v>10493884727.167288</v>
      </c>
      <c r="D9" s="78">
        <v>10704083910.665373</v>
      </c>
      <c r="E9" s="78">
        <v>10338606132.376211</v>
      </c>
      <c r="F9" s="78">
        <v>10716132899.395105</v>
      </c>
      <c r="G9" s="79">
        <v>11168873950.398266</v>
      </c>
      <c r="H9" s="80">
        <v>3.7416635600699966</v>
      </c>
      <c r="I9" s="81">
        <v>2.0030635838214073</v>
      </c>
      <c r="J9" s="81">
        <v>-3.4143769923646206</v>
      </c>
      <c r="K9" s="82">
        <v>3.6516215260066653</v>
      </c>
      <c r="L9" s="83">
        <v>4.2248547610744591</v>
      </c>
    </row>
    <row r="10" spans="1:12" s="15" customFormat="1" ht="19.5" customHeight="1" x14ac:dyDescent="0.3">
      <c r="A10" s="68" t="s">
        <v>13</v>
      </c>
      <c r="B10" s="69">
        <v>72619659603.511749</v>
      </c>
      <c r="C10" s="70">
        <v>73592108130.367584</v>
      </c>
      <c r="D10" s="70">
        <v>74548070301.900665</v>
      </c>
      <c r="E10" s="70">
        <v>73750002328.122375</v>
      </c>
      <c r="F10" s="70">
        <v>76163169872.992889</v>
      </c>
      <c r="G10" s="71">
        <v>79590923211.912628</v>
      </c>
      <c r="H10" s="84">
        <v>1.3390981617997122</v>
      </c>
      <c r="I10" s="85">
        <v>1.2990009334147734</v>
      </c>
      <c r="J10" s="85">
        <v>-1.0705414245416711</v>
      </c>
      <c r="K10" s="86">
        <v>3.2720914829724945</v>
      </c>
      <c r="L10" s="87">
        <v>4.5005392299660718</v>
      </c>
    </row>
    <row r="11" spans="1:12" s="15" customFormat="1" ht="19.5" customHeight="1" x14ac:dyDescent="0.3">
      <c r="A11" s="76" t="s">
        <v>14</v>
      </c>
      <c r="B11" s="77">
        <v>123755158964.10161</v>
      </c>
      <c r="C11" s="78">
        <v>123874313164.49339</v>
      </c>
      <c r="D11" s="78">
        <v>120953932905.3269</v>
      </c>
      <c r="E11" s="78">
        <v>121321392108.27251</v>
      </c>
      <c r="F11" s="78">
        <v>120690447145.10182</v>
      </c>
      <c r="G11" s="79">
        <v>121457455987.74849</v>
      </c>
      <c r="H11" s="80">
        <v>9.6282208668441172E-2</v>
      </c>
      <c r="I11" s="81">
        <v>-2.3575349760272757</v>
      </c>
      <c r="J11" s="81">
        <v>0.30380095472648527</v>
      </c>
      <c r="K11" s="82">
        <v>-0.52006076769016696</v>
      </c>
      <c r="L11" s="83">
        <v>0.63551744217544837</v>
      </c>
    </row>
    <row r="12" spans="1:12" s="15" customFormat="1" ht="19.5" customHeight="1" x14ac:dyDescent="0.3">
      <c r="A12" s="68" t="s">
        <v>15</v>
      </c>
      <c r="B12" s="69">
        <v>16039436565.976765</v>
      </c>
      <c r="C12" s="70">
        <v>15455515143.412825</v>
      </c>
      <c r="D12" s="70">
        <v>15308386316.109045</v>
      </c>
      <c r="E12" s="70">
        <v>15164450202.716799</v>
      </c>
      <c r="F12" s="70">
        <v>15132411095.596088</v>
      </c>
      <c r="G12" s="71">
        <v>14948071140.6492</v>
      </c>
      <c r="H12" s="84">
        <v>-3.6405357517518278</v>
      </c>
      <c r="I12" s="85">
        <v>-0.95195032930679435</v>
      </c>
      <c r="J12" s="85">
        <v>-0.94024353984836218</v>
      </c>
      <c r="K12" s="86">
        <v>-0.21127773636639979</v>
      </c>
      <c r="L12" s="87">
        <v>-1.2181796660317823</v>
      </c>
    </row>
    <row r="13" spans="1:12" s="15" customFormat="1" ht="19.5" customHeight="1" x14ac:dyDescent="0.3">
      <c r="A13" s="76" t="s">
        <v>16</v>
      </c>
      <c r="B13" s="77">
        <v>32188818963.84972</v>
      </c>
      <c r="C13" s="78">
        <v>32410674900.033752</v>
      </c>
      <c r="D13" s="78">
        <v>28555598598.598259</v>
      </c>
      <c r="E13" s="78">
        <v>29414113991.080231</v>
      </c>
      <c r="F13" s="78">
        <v>30160284212.097565</v>
      </c>
      <c r="G13" s="79">
        <v>28568739968.505909</v>
      </c>
      <c r="H13" s="80">
        <v>0.68923291790603525</v>
      </c>
      <c r="I13" s="81">
        <v>-11.894464750659905</v>
      </c>
      <c r="J13" s="81">
        <v>3.0064696053127449</v>
      </c>
      <c r="K13" s="82">
        <v>2.5367761246985365</v>
      </c>
      <c r="L13" s="83">
        <v>-5.2769537329269367</v>
      </c>
    </row>
    <row r="14" spans="1:12" s="15" customFormat="1" ht="19.5" customHeight="1" x14ac:dyDescent="0.3">
      <c r="A14" s="68" t="s">
        <v>17</v>
      </c>
      <c r="B14" s="69">
        <v>119317891.92043678</v>
      </c>
      <c r="C14" s="70">
        <v>122097829.53846535</v>
      </c>
      <c r="D14" s="70">
        <v>122326444.45793405</v>
      </c>
      <c r="E14" s="70">
        <v>122615672.44090024</v>
      </c>
      <c r="F14" s="70">
        <v>122668886.27915686</v>
      </c>
      <c r="G14" s="71">
        <v>124349620.05985147</v>
      </c>
      <c r="H14" s="84">
        <v>2.3298581405396313</v>
      </c>
      <c r="I14" s="85">
        <v>0.18723913466183184</v>
      </c>
      <c r="J14" s="85">
        <v>0.23643945857156901</v>
      </c>
      <c r="K14" s="86">
        <v>4.3398887921353158E-2</v>
      </c>
      <c r="L14" s="87">
        <v>1.3701386159729045</v>
      </c>
    </row>
    <row r="15" spans="1:12" s="15" customFormat="1" ht="19.5" customHeight="1" x14ac:dyDescent="0.3">
      <c r="A15" s="76" t="s">
        <v>18</v>
      </c>
      <c r="B15" s="77">
        <v>20297884544.979939</v>
      </c>
      <c r="C15" s="78">
        <v>20075709951.355232</v>
      </c>
      <c r="D15" s="78">
        <v>19933918418.331245</v>
      </c>
      <c r="E15" s="78">
        <v>19564820275.903065</v>
      </c>
      <c r="F15" s="78">
        <v>19433199046.443035</v>
      </c>
      <c r="G15" s="79">
        <v>19622342004.458611</v>
      </c>
      <c r="H15" s="80">
        <v>-1.0945701909593986</v>
      </c>
      <c r="I15" s="81">
        <v>-0.70628402864734152</v>
      </c>
      <c r="J15" s="81">
        <v>-1.8516085732986576</v>
      </c>
      <c r="K15" s="82">
        <v>-0.67274438305032769</v>
      </c>
      <c r="L15" s="83">
        <v>0.97329810477186918</v>
      </c>
    </row>
    <row r="16" spans="1:12" s="15" customFormat="1" ht="19.5" customHeight="1" x14ac:dyDescent="0.3">
      <c r="A16" s="68" t="s">
        <v>19</v>
      </c>
      <c r="B16" s="69">
        <v>128821211967.5314</v>
      </c>
      <c r="C16" s="70">
        <v>126585607824.83466</v>
      </c>
      <c r="D16" s="70">
        <v>126241809585.35768</v>
      </c>
      <c r="E16" s="70">
        <v>125133876442.3447</v>
      </c>
      <c r="F16" s="70">
        <v>125943234572.62715</v>
      </c>
      <c r="G16" s="71">
        <v>125814201392.88287</v>
      </c>
      <c r="H16" s="84">
        <v>-1.7354316952554516</v>
      </c>
      <c r="I16" s="85">
        <v>-0.27159346578539134</v>
      </c>
      <c r="J16" s="85">
        <v>-0.8776277420705525</v>
      </c>
      <c r="K16" s="86">
        <v>0.64679378062371118</v>
      </c>
      <c r="L16" s="87">
        <v>-0.10245344276105239</v>
      </c>
    </row>
    <row r="17" spans="1:22" s="15" customFormat="1" ht="19.5" customHeight="1" x14ac:dyDescent="0.3">
      <c r="A17" s="76" t="s">
        <v>20</v>
      </c>
      <c r="B17" s="77">
        <v>295060547329.55469</v>
      </c>
      <c r="C17" s="78">
        <v>295529983764.71692</v>
      </c>
      <c r="D17" s="78">
        <v>295520455090.41461</v>
      </c>
      <c r="E17" s="78">
        <v>297295291690.83661</v>
      </c>
      <c r="F17" s="78">
        <v>299600512474.3689</v>
      </c>
      <c r="G17" s="79">
        <v>300878556962.20221</v>
      </c>
      <c r="H17" s="80">
        <v>0.15909834080187757</v>
      </c>
      <c r="I17" s="81">
        <v>-3.2242665129689208E-3</v>
      </c>
      <c r="J17" s="81">
        <v>0.60057994966169481</v>
      </c>
      <c r="K17" s="82">
        <v>0.77539767630412371</v>
      </c>
      <c r="L17" s="83">
        <v>0.42658287773877923</v>
      </c>
    </row>
    <row r="18" spans="1:22" s="15" customFormat="1" ht="19.5" customHeight="1" x14ac:dyDescent="0.3">
      <c r="A18" s="68" t="s">
        <v>21</v>
      </c>
      <c r="B18" s="69">
        <v>23435446011.262505</v>
      </c>
      <c r="C18" s="70">
        <v>22182812897.143574</v>
      </c>
      <c r="D18" s="70">
        <v>20601284420.407284</v>
      </c>
      <c r="E18" s="70">
        <v>19846414897.802834</v>
      </c>
      <c r="F18" s="70">
        <v>19532796421.879303</v>
      </c>
      <c r="G18" s="71">
        <v>20684749216.535248</v>
      </c>
      <c r="H18" s="84">
        <v>-5.3450363757401753</v>
      </c>
      <c r="I18" s="85">
        <v>-7.1295217791785941</v>
      </c>
      <c r="J18" s="85">
        <v>-3.6641866943824541</v>
      </c>
      <c r="K18" s="86">
        <v>-1.5802273485588159</v>
      </c>
      <c r="L18" s="87">
        <v>5.8975313609760827</v>
      </c>
    </row>
    <row r="19" spans="1:22" s="15" customFormat="1" ht="19.5" customHeight="1" x14ac:dyDescent="0.3">
      <c r="A19" s="76" t="s">
        <v>22</v>
      </c>
      <c r="B19" s="77">
        <v>13346128952.967907</v>
      </c>
      <c r="C19" s="78">
        <v>12802116896.988716</v>
      </c>
      <c r="D19" s="78">
        <v>12064970456.464327</v>
      </c>
      <c r="E19" s="78">
        <v>11625947013.700804</v>
      </c>
      <c r="F19" s="78">
        <v>11541449689.39221</v>
      </c>
      <c r="G19" s="79">
        <v>10611935283.401197</v>
      </c>
      <c r="H19" s="80">
        <v>-4.0761786274979279</v>
      </c>
      <c r="I19" s="81">
        <v>-5.7580042930070352</v>
      </c>
      <c r="J19" s="81">
        <v>-3.6388273336243171</v>
      </c>
      <c r="K19" s="82">
        <v>-0.72679949606699878</v>
      </c>
      <c r="L19" s="83">
        <v>-8.0537058255804155</v>
      </c>
    </row>
    <row r="20" spans="1:22" s="15" customFormat="1" ht="19.5" customHeight="1" x14ac:dyDescent="0.3">
      <c r="A20" s="68" t="s">
        <v>23</v>
      </c>
      <c r="B20" s="69">
        <v>8849924281.8379803</v>
      </c>
      <c r="C20" s="70">
        <v>8981260461.1125584</v>
      </c>
      <c r="D20" s="70">
        <v>9054234355.0896816</v>
      </c>
      <c r="E20" s="70">
        <v>9158204187.3505077</v>
      </c>
      <c r="F20" s="70">
        <v>11108922484.707577</v>
      </c>
      <c r="G20" s="71">
        <v>11288379924.713783</v>
      </c>
      <c r="H20" s="84">
        <v>1.4840373215860181</v>
      </c>
      <c r="I20" s="85">
        <v>0.81251283484193859</v>
      </c>
      <c r="J20" s="85">
        <v>1.1483006534106499</v>
      </c>
      <c r="K20" s="86">
        <v>21.300227178287191</v>
      </c>
      <c r="L20" s="87">
        <v>1.6154351626203711</v>
      </c>
    </row>
    <row r="21" spans="1:22" s="10" customFormat="1" ht="19.5" customHeight="1" thickBot="1" x14ac:dyDescent="0.35">
      <c r="A21" s="88" t="s">
        <v>24</v>
      </c>
      <c r="B21" s="89">
        <v>849666500100.68213</v>
      </c>
      <c r="C21" s="90">
        <v>847124460293.0415</v>
      </c>
      <c r="D21" s="90">
        <v>838241433805.79395</v>
      </c>
      <c r="E21" s="90">
        <v>837124240245.14417</v>
      </c>
      <c r="F21" s="90">
        <v>843885293375.3634</v>
      </c>
      <c r="G21" s="91">
        <v>847105868494.53784</v>
      </c>
      <c r="H21" s="92">
        <v>-0.29918089124844061</v>
      </c>
      <c r="I21" s="93">
        <v>-1.0486093724852097</v>
      </c>
      <c r="J21" s="93">
        <v>-0.13327825559487083</v>
      </c>
      <c r="K21" s="94">
        <v>0.80765229402977035</v>
      </c>
      <c r="L21" s="95">
        <v>0.3816365973499547</v>
      </c>
    </row>
    <row r="22" spans="1:22" ht="19.5" customHeight="1" thickTop="1" x14ac:dyDescent="0.3">
      <c r="A22" s="68" t="s">
        <v>25</v>
      </c>
      <c r="B22" s="96">
        <v>144889768982.5777</v>
      </c>
      <c r="C22" s="97">
        <v>150754705455.95584</v>
      </c>
      <c r="D22" s="97">
        <v>151707549286.60873</v>
      </c>
      <c r="E22" s="97">
        <v>155072222715.09628</v>
      </c>
      <c r="F22" s="97">
        <v>165666289272.29602</v>
      </c>
      <c r="G22" s="98">
        <v>169138376474.0889</v>
      </c>
      <c r="H22" s="84">
        <v>4.0478610150060934</v>
      </c>
      <c r="I22" s="85">
        <v>0.63204914750158991</v>
      </c>
      <c r="J22" s="85">
        <v>2.2178681577216253</v>
      </c>
      <c r="K22" s="86">
        <v>6.8316983994377356</v>
      </c>
      <c r="L22" s="87">
        <v>2.0958320591620172</v>
      </c>
    </row>
    <row r="23" spans="1:22" ht="19.5" customHeight="1" x14ac:dyDescent="0.3">
      <c r="A23" s="76" t="s">
        <v>26</v>
      </c>
      <c r="B23" s="99">
        <v>49827814473.093521</v>
      </c>
      <c r="C23" s="100">
        <v>51114963011.209358</v>
      </c>
      <c r="D23" s="100">
        <v>52400786724.508469</v>
      </c>
      <c r="E23" s="100">
        <v>53604964199.637939</v>
      </c>
      <c r="F23" s="100">
        <v>55201159240.292686</v>
      </c>
      <c r="G23" s="101">
        <v>56159386352.439247</v>
      </c>
      <c r="H23" s="80">
        <v>2.5831928446528263</v>
      </c>
      <c r="I23" s="81">
        <v>2.5155524675174457</v>
      </c>
      <c r="J23" s="81">
        <v>2.2980141146740962</v>
      </c>
      <c r="K23" s="82">
        <v>2.9777000404479947</v>
      </c>
      <c r="L23" s="83">
        <v>1.7358822266310803</v>
      </c>
    </row>
    <row r="24" spans="1:22" ht="19.5" customHeight="1" x14ac:dyDescent="0.3">
      <c r="A24" s="68" t="s">
        <v>27</v>
      </c>
      <c r="B24" s="96">
        <v>103773878837.79391</v>
      </c>
      <c r="C24" s="97">
        <v>104067125459.9402</v>
      </c>
      <c r="D24" s="97">
        <v>103962506024.74367</v>
      </c>
      <c r="E24" s="97">
        <v>103842877716.59244</v>
      </c>
      <c r="F24" s="97">
        <v>105491961378.44003</v>
      </c>
      <c r="G24" s="98">
        <v>105971501423.94078</v>
      </c>
      <c r="H24" s="84">
        <v>0.28258230821713859</v>
      </c>
      <c r="I24" s="85">
        <v>-0.10053072450512124</v>
      </c>
      <c r="J24" s="85">
        <v>-0.11506870382939072</v>
      </c>
      <c r="K24" s="86">
        <v>1.5880565890597387</v>
      </c>
      <c r="L24" s="87">
        <v>0.45457496403962239</v>
      </c>
    </row>
    <row r="25" spans="1:22" ht="19.5" customHeight="1" x14ac:dyDescent="0.3">
      <c r="A25" s="76" t="s">
        <v>28</v>
      </c>
      <c r="B25" s="99">
        <v>65904997624.273712</v>
      </c>
      <c r="C25" s="100">
        <v>66421858422.511856</v>
      </c>
      <c r="D25" s="100">
        <v>66825215760.24601</v>
      </c>
      <c r="E25" s="100">
        <v>67203352571.237625</v>
      </c>
      <c r="F25" s="100">
        <v>67619945773.289421</v>
      </c>
      <c r="G25" s="101">
        <v>67803349661.192307</v>
      </c>
      <c r="H25" s="80">
        <v>0.78425129636570112</v>
      </c>
      <c r="I25" s="81">
        <v>0.60726596231075458</v>
      </c>
      <c r="J25" s="81">
        <v>0.56585946889911032</v>
      </c>
      <c r="K25" s="82">
        <v>0.61989943375249101</v>
      </c>
      <c r="L25" s="83">
        <v>0.27122749923194078</v>
      </c>
    </row>
    <row r="26" spans="1:22" ht="19.5" customHeight="1" x14ac:dyDescent="0.3">
      <c r="A26" s="68" t="s">
        <v>29</v>
      </c>
      <c r="B26" s="96">
        <v>26454788384.716175</v>
      </c>
      <c r="C26" s="97">
        <v>26779878971.927635</v>
      </c>
      <c r="D26" s="97">
        <v>26352804371.522861</v>
      </c>
      <c r="E26" s="97">
        <v>25953974088.997341</v>
      </c>
      <c r="F26" s="97">
        <v>26302595768.801903</v>
      </c>
      <c r="G26" s="98">
        <v>26172820697.293491</v>
      </c>
      <c r="H26" s="84">
        <v>1.2288534781827121</v>
      </c>
      <c r="I26" s="85">
        <v>-1.5947592625510376</v>
      </c>
      <c r="J26" s="85">
        <v>-1.5134263393861036</v>
      </c>
      <c r="K26" s="86">
        <v>1.3432304378864002</v>
      </c>
      <c r="L26" s="87">
        <v>-0.49339263945324952</v>
      </c>
    </row>
    <row r="27" spans="1:22" ht="19.5" customHeight="1" thickBot="1" x14ac:dyDescent="0.35">
      <c r="A27" s="88" t="s">
        <v>30</v>
      </c>
      <c r="B27" s="89">
        <v>390851248302.45496</v>
      </c>
      <c r="C27" s="90">
        <v>399138531321.54486</v>
      </c>
      <c r="D27" s="90">
        <v>401248862167.62976</v>
      </c>
      <c r="E27" s="90">
        <v>405677391291.56158</v>
      </c>
      <c r="F27" s="90">
        <v>420281951433.12006</v>
      </c>
      <c r="G27" s="91">
        <v>425245434608.95477</v>
      </c>
      <c r="H27" s="92">
        <v>2.1203163748569898</v>
      </c>
      <c r="I27" s="93">
        <v>0.52872140384383481</v>
      </c>
      <c r="J27" s="93">
        <v>1.1036864005066649</v>
      </c>
      <c r="K27" s="94">
        <v>3.6000429047972515</v>
      </c>
      <c r="L27" s="95">
        <v>1.1809888954093184</v>
      </c>
    </row>
    <row r="28" spans="1:22" ht="19.5" customHeight="1" thickTop="1" thickBot="1" x14ac:dyDescent="0.35">
      <c r="A28" s="102" t="s">
        <v>31</v>
      </c>
      <c r="B28" s="103">
        <v>1240517748403.1372</v>
      </c>
      <c r="C28" s="104">
        <v>1246262991614.5864</v>
      </c>
      <c r="D28" s="104">
        <v>1239490295973.4238</v>
      </c>
      <c r="E28" s="104">
        <v>1242801631536.7058</v>
      </c>
      <c r="F28" s="104">
        <v>1264167244808.4834</v>
      </c>
      <c r="G28" s="105">
        <v>1272351303103.4927</v>
      </c>
      <c r="H28" s="106">
        <v>0.4631326894633192</v>
      </c>
      <c r="I28" s="107">
        <v>-0.54344032413160548</v>
      </c>
      <c r="J28" s="107">
        <v>0.26715300426627397</v>
      </c>
      <c r="K28" s="108">
        <v>1.7191491167708906</v>
      </c>
      <c r="L28" s="109">
        <v>0.64738730801787714</v>
      </c>
    </row>
    <row r="29" spans="1:22" s="2" customFormat="1" ht="27" customHeight="1" thickTop="1" x14ac:dyDescent="0.25">
      <c r="A29" s="142" t="s">
        <v>134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</row>
    <row r="30" spans="1:22" s="2" customFormat="1" ht="14.25" x14ac:dyDescent="0.25">
      <c r="A30" s="142" t="s">
        <v>132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</row>
    <row r="31" spans="1:22" s="2" customFormat="1" ht="27" customHeight="1" x14ac:dyDescent="0.25">
      <c r="A31" s="142" t="s">
        <v>121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32"/>
      <c r="N31" s="32"/>
      <c r="O31" s="32"/>
      <c r="P31" s="32"/>
      <c r="Q31" s="32"/>
      <c r="R31" s="32"/>
      <c r="S31" s="32"/>
      <c r="T31" s="32"/>
      <c r="U31" s="32"/>
      <c r="V31" s="32"/>
    </row>
    <row r="32" spans="1:22" s="2" customFormat="1" ht="14.25" x14ac:dyDescent="0.25">
      <c r="A32" s="143" t="s">
        <v>34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</row>
    <row r="33" spans="1:3" s="2" customFormat="1" ht="14.25" x14ac:dyDescent="0.25">
      <c r="A33" s="30" t="s">
        <v>93</v>
      </c>
    </row>
    <row r="34" spans="1:3" s="2" customFormat="1" ht="14.25" x14ac:dyDescent="0.25">
      <c r="A34" s="152" t="s">
        <v>37</v>
      </c>
      <c r="B34" s="152"/>
      <c r="C34" s="152"/>
    </row>
  </sheetData>
  <mergeCells count="8">
    <mergeCell ref="A1:L1"/>
    <mergeCell ref="H2:L2"/>
    <mergeCell ref="B2:G2"/>
    <mergeCell ref="A31:L31"/>
    <mergeCell ref="A34:C34"/>
    <mergeCell ref="A30:L30"/>
    <mergeCell ref="A29:L29"/>
    <mergeCell ref="A32:L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H45"/>
  <sheetViews>
    <sheetView showGridLines="0" zoomScale="70" zoomScaleNormal="70" workbookViewId="0">
      <pane xSplit="1" ySplit="3" topLeftCell="B4" activePane="bottomRight" state="frozen"/>
      <selection sqref="A1:D1"/>
      <selection pane="topRight" sqref="A1:D1"/>
      <selection pane="bottomLeft" sqref="A1:D1"/>
      <selection pane="bottomRight" activeCell="A6" sqref="A6"/>
    </sheetView>
  </sheetViews>
  <sheetFormatPr defaultColWidth="9.140625" defaultRowHeight="17.25" x14ac:dyDescent="0.3"/>
  <cols>
    <col min="1" max="1" width="21.140625" style="3" customWidth="1"/>
    <col min="2" max="2" width="8.28515625" style="3" bestFit="1" customWidth="1"/>
    <col min="3" max="3" width="9.5703125" style="3" bestFit="1" customWidth="1"/>
    <col min="4" max="4" width="11.42578125" style="3" bestFit="1" customWidth="1"/>
    <col min="5" max="5" width="12.7109375" style="3" bestFit="1" customWidth="1"/>
    <col min="6" max="6" width="14.140625" style="3" bestFit="1" customWidth="1"/>
    <col min="7" max="14" width="17.28515625" style="3" bestFit="1" customWidth="1"/>
    <col min="15" max="33" width="18.7109375" style="3" bestFit="1" customWidth="1"/>
    <col min="34" max="38" width="20.5703125" style="3" bestFit="1" customWidth="1"/>
    <col min="39" max="16384" width="9.140625" style="3"/>
  </cols>
  <sheetData>
    <row r="1" spans="1:38" ht="22.5" customHeight="1" x14ac:dyDescent="0.3">
      <c r="B1" s="10"/>
      <c r="C1" s="10" t="s">
        <v>94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x14ac:dyDescent="0.3">
      <c r="C2" s="3" t="s">
        <v>2</v>
      </c>
    </row>
    <row r="3" spans="1:38" s="10" customFormat="1" ht="33" customHeight="1" thickBot="1" x14ac:dyDescent="0.35">
      <c r="A3" s="6" t="s">
        <v>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  <c r="U3" s="7" t="s">
        <v>58</v>
      </c>
      <c r="V3" s="7" t="s">
        <v>59</v>
      </c>
      <c r="W3" s="7" t="s">
        <v>60</v>
      </c>
      <c r="X3" s="7" t="s">
        <v>61</v>
      </c>
      <c r="Y3" s="7" t="s">
        <v>62</v>
      </c>
      <c r="Z3" s="7" t="s">
        <v>63</v>
      </c>
      <c r="AA3" s="7" t="s">
        <v>64</v>
      </c>
      <c r="AB3" s="7" t="s">
        <v>65</v>
      </c>
      <c r="AC3" s="56">
        <v>2016</v>
      </c>
      <c r="AD3" s="56">
        <v>2017</v>
      </c>
      <c r="AE3" s="56">
        <v>2018</v>
      </c>
      <c r="AF3" s="56">
        <v>2019</v>
      </c>
      <c r="AG3" s="56">
        <v>2020</v>
      </c>
      <c r="AH3" s="56">
        <v>2021</v>
      </c>
      <c r="AI3" s="56">
        <v>2022</v>
      </c>
      <c r="AJ3" s="56">
        <v>2023</v>
      </c>
      <c r="AK3" s="56" t="s">
        <v>4</v>
      </c>
      <c r="AL3" s="56" t="s">
        <v>119</v>
      </c>
    </row>
    <row r="4" spans="1:38" s="15" customFormat="1" ht="18" customHeight="1" thickTop="1" x14ac:dyDescent="0.3">
      <c r="A4" s="11" t="s">
        <v>7</v>
      </c>
      <c r="B4" s="12">
        <v>688.3385331245006</v>
      </c>
      <c r="C4" s="12">
        <v>16232.296060605373</v>
      </c>
      <c r="D4" s="12">
        <v>94045.051486059383</v>
      </c>
      <c r="E4" s="12">
        <v>895547.2397727255</v>
      </c>
      <c r="F4" s="12">
        <v>11953713.792363614</v>
      </c>
      <c r="G4" s="12">
        <v>386418764.89090884</v>
      </c>
      <c r="H4" s="12">
        <v>607843463.33333337</v>
      </c>
      <c r="I4" s="12">
        <v>464899681.66666663</v>
      </c>
      <c r="J4" s="12">
        <v>468124469.99999994</v>
      </c>
      <c r="K4" s="12">
        <v>589915223.33333337</v>
      </c>
      <c r="L4" s="12">
        <v>849292249.99999988</v>
      </c>
      <c r="M4" s="12">
        <v>1277854939.9999998</v>
      </c>
      <c r="N4" s="12">
        <v>1608143766.6666663</v>
      </c>
      <c r="O4" s="12">
        <v>1518014811.6666665</v>
      </c>
      <c r="P4" s="12">
        <v>2435689310.0000005</v>
      </c>
      <c r="Q4" s="12">
        <v>4748100000</v>
      </c>
      <c r="R4" s="12">
        <v>3632553533.333333</v>
      </c>
      <c r="S4" s="12">
        <v>2722382139.166666</v>
      </c>
      <c r="T4" s="12">
        <v>3960091860.0000005</v>
      </c>
      <c r="U4" s="12">
        <v>4132550287.4999995</v>
      </c>
      <c r="V4" s="12">
        <v>2899956618.3333335</v>
      </c>
      <c r="W4" s="12">
        <v>2962136020.8333335</v>
      </c>
      <c r="X4" s="12">
        <v>8400487830.0000019</v>
      </c>
      <c r="Y4" s="12">
        <v>11089294493.333334</v>
      </c>
      <c r="Z4" s="12">
        <v>8366434873.333333</v>
      </c>
      <c r="AA4" s="12">
        <v>11333341024.999998</v>
      </c>
      <c r="AB4" s="12">
        <v>12396934565.000002</v>
      </c>
      <c r="AC4" s="57">
        <v>12402047338.33333</v>
      </c>
      <c r="AD4" s="57">
        <v>8593813215.6635818</v>
      </c>
      <c r="AE4" s="57">
        <v>13542991354.629631</v>
      </c>
      <c r="AF4" s="57">
        <v>16517815431.790127</v>
      </c>
      <c r="AG4" s="57">
        <v>20164730271.604939</v>
      </c>
      <c r="AH4" s="57">
        <v>26441155996.141972</v>
      </c>
      <c r="AI4" s="57">
        <v>34794331999.60318</v>
      </c>
      <c r="AJ4" s="57">
        <v>30455754095.601856</v>
      </c>
      <c r="AK4" s="57">
        <v>32796770415.343922</v>
      </c>
      <c r="AL4" s="57">
        <v>33349072249.999996</v>
      </c>
    </row>
    <row r="5" spans="1:38" s="15" customFormat="1" ht="18" customHeight="1" x14ac:dyDescent="0.3">
      <c r="A5" s="16" t="s">
        <v>8</v>
      </c>
      <c r="B5" s="17">
        <v>52.609567964250004</v>
      </c>
      <c r="C5" s="17">
        <v>1202.3795833332651</v>
      </c>
      <c r="D5" s="17">
        <v>6919.9020751514427</v>
      </c>
      <c r="E5" s="17">
        <v>61094.608119999903</v>
      </c>
      <c r="F5" s="17">
        <v>1652977.6606060578</v>
      </c>
      <c r="G5" s="17">
        <v>38726765.57272727</v>
      </c>
      <c r="H5" s="17">
        <v>57985634.166666664</v>
      </c>
      <c r="I5" s="17">
        <v>61582635</v>
      </c>
      <c r="J5" s="17">
        <v>69803512.5</v>
      </c>
      <c r="K5" s="17">
        <v>77905446.666666672</v>
      </c>
      <c r="L5" s="17">
        <v>106306942.5</v>
      </c>
      <c r="M5" s="17">
        <v>134497925</v>
      </c>
      <c r="N5" s="17">
        <v>106429982.5</v>
      </c>
      <c r="O5" s="17">
        <v>153135203.33333334</v>
      </c>
      <c r="P5" s="17">
        <v>219161932.50000003</v>
      </c>
      <c r="Q5" s="17">
        <v>276493886.66666663</v>
      </c>
      <c r="R5" s="17">
        <v>307620724.16666669</v>
      </c>
      <c r="S5" s="17">
        <v>237211936.66666669</v>
      </c>
      <c r="T5" s="17">
        <v>314371733.33333331</v>
      </c>
      <c r="U5" s="17">
        <v>498919190</v>
      </c>
      <c r="V5" s="17">
        <v>311694588.33333331</v>
      </c>
      <c r="W5" s="17">
        <v>317014187.50000006</v>
      </c>
      <c r="X5" s="17">
        <v>471752629.07500005</v>
      </c>
      <c r="Y5" s="17">
        <v>560370038.17142868</v>
      </c>
      <c r="Z5" s="17">
        <v>732086847.27744722</v>
      </c>
      <c r="AA5" s="17">
        <v>870978064.57142866</v>
      </c>
      <c r="AB5" s="17">
        <v>996274201.25793648</v>
      </c>
      <c r="AC5" s="58">
        <v>1233157872.5277777</v>
      </c>
      <c r="AD5" s="58">
        <v>1284280034.7055554</v>
      </c>
      <c r="AE5" s="58">
        <v>1228221105.4777777</v>
      </c>
      <c r="AF5" s="58">
        <v>1515215752.5</v>
      </c>
      <c r="AG5" s="58">
        <v>2364061397.1916666</v>
      </c>
      <c r="AH5" s="58">
        <v>2755401562.7166662</v>
      </c>
      <c r="AI5" s="58">
        <v>3573467935.6500001</v>
      </c>
      <c r="AJ5" s="58">
        <v>4385539388.625</v>
      </c>
      <c r="AK5" s="58">
        <v>4210959022.1111116</v>
      </c>
      <c r="AL5" s="58">
        <v>5279389652</v>
      </c>
    </row>
    <row r="6" spans="1:38" s="15" customFormat="1" ht="18" customHeight="1" x14ac:dyDescent="0.3">
      <c r="A6" s="11" t="s">
        <v>9</v>
      </c>
      <c r="B6" s="12">
        <v>1587.6227264723668</v>
      </c>
      <c r="C6" s="12">
        <v>36715.618314238658</v>
      </c>
      <c r="D6" s="12">
        <v>276690.41019545094</v>
      </c>
      <c r="E6" s="12">
        <v>2549354.560404845</v>
      </c>
      <c r="F6" s="12">
        <v>56622375.748484671</v>
      </c>
      <c r="G6" s="12">
        <v>1351753975.5384841</v>
      </c>
      <c r="H6" s="12">
        <v>1983271306.6666663</v>
      </c>
      <c r="I6" s="12">
        <v>1788147786.6666667</v>
      </c>
      <c r="J6" s="12">
        <v>1920882950</v>
      </c>
      <c r="K6" s="12">
        <v>2218375875</v>
      </c>
      <c r="L6" s="12">
        <v>3337262789.9999995</v>
      </c>
      <c r="M6" s="12">
        <v>2774368176.6666675</v>
      </c>
      <c r="N6" s="12">
        <v>2995847754.1666665</v>
      </c>
      <c r="O6" s="12">
        <v>4073934539.9999995</v>
      </c>
      <c r="P6" s="12">
        <v>6045742755.000001</v>
      </c>
      <c r="Q6" s="12">
        <v>8419835906.666667</v>
      </c>
      <c r="R6" s="12">
        <v>6508479080.000001</v>
      </c>
      <c r="S6" s="12">
        <v>5235036104.1666679</v>
      </c>
      <c r="T6" s="12">
        <v>5521153215.833334</v>
      </c>
      <c r="U6" s="12">
        <v>7890208354.166667</v>
      </c>
      <c r="V6" s="12">
        <v>8581692680</v>
      </c>
      <c r="W6" s="12">
        <v>7022491250.000001</v>
      </c>
      <c r="X6" s="12">
        <v>7479731670.000001</v>
      </c>
      <c r="Y6" s="12">
        <v>7132051517.500001</v>
      </c>
      <c r="Z6" s="12">
        <v>9180569429.1666679</v>
      </c>
      <c r="AA6" s="12">
        <v>9923115630</v>
      </c>
      <c r="AB6" s="12">
        <v>9871713802.5000019</v>
      </c>
      <c r="AC6" s="57">
        <v>9958302187.4999981</v>
      </c>
      <c r="AD6" s="57">
        <v>10974725852.249506</v>
      </c>
      <c r="AE6" s="57">
        <v>9676195906.4042721</v>
      </c>
      <c r="AF6" s="57">
        <v>9692832728.5643311</v>
      </c>
      <c r="AG6" s="57">
        <v>15110521178.252802</v>
      </c>
      <c r="AH6" s="57">
        <v>19255752409.311829</v>
      </c>
      <c r="AI6" s="57">
        <v>17036229351.869711</v>
      </c>
      <c r="AJ6" s="57">
        <v>20344812451.234085</v>
      </c>
      <c r="AK6" s="57">
        <v>24009963208.850006</v>
      </c>
      <c r="AL6" s="57">
        <v>23905403994.766659</v>
      </c>
    </row>
    <row r="7" spans="1:38" s="15" customFormat="1" ht="18" customHeight="1" x14ac:dyDescent="0.3">
      <c r="A7" s="16" t="s">
        <v>10</v>
      </c>
      <c r="B7" s="17">
        <v>1047.9353840017093</v>
      </c>
      <c r="C7" s="17">
        <v>32746.722622097863</v>
      </c>
      <c r="D7" s="17">
        <v>145283.63128723495</v>
      </c>
      <c r="E7" s="17">
        <v>1277028.6398111971</v>
      </c>
      <c r="F7" s="17">
        <v>28051838.838072661</v>
      </c>
      <c r="G7" s="17">
        <v>1028973417.4174905</v>
      </c>
      <c r="H7" s="17">
        <v>2289095536.1999998</v>
      </c>
      <c r="I7" s="17">
        <v>1742230040.8500001</v>
      </c>
      <c r="J7" s="17">
        <v>1634559781.7999997</v>
      </c>
      <c r="K7" s="17">
        <v>1711153827.4999998</v>
      </c>
      <c r="L7" s="17">
        <v>2022593124.1249995</v>
      </c>
      <c r="M7" s="17">
        <v>2000879246.3999994</v>
      </c>
      <c r="N7" s="17">
        <v>2157162193.0416665</v>
      </c>
      <c r="O7" s="17">
        <v>2392775071.458333</v>
      </c>
      <c r="P7" s="17">
        <v>3059024578.9583335</v>
      </c>
      <c r="Q7" s="17">
        <v>3310984061.666666</v>
      </c>
      <c r="R7" s="17">
        <v>3570677733.333333</v>
      </c>
      <c r="S7" s="17">
        <v>3764452202.1666665</v>
      </c>
      <c r="T7" s="17">
        <v>4183296034.666667</v>
      </c>
      <c r="U7" s="17">
        <v>4689343679.166667</v>
      </c>
      <c r="V7" s="17">
        <v>4593553311.666666</v>
      </c>
      <c r="W7" s="17">
        <v>5425314333.25</v>
      </c>
      <c r="X7" s="17">
        <v>6416951860.5000019</v>
      </c>
      <c r="Y7" s="17">
        <v>6409540617</v>
      </c>
      <c r="Z7" s="17">
        <v>7738404157.916666</v>
      </c>
      <c r="AA7" s="17">
        <v>8615769162.041666</v>
      </c>
      <c r="AB7" s="17">
        <v>9022465073.6250019</v>
      </c>
      <c r="AC7" s="58">
        <v>14639689370.833332</v>
      </c>
      <c r="AD7" s="58">
        <v>10837891127.271633</v>
      </c>
      <c r="AE7" s="58">
        <v>9933889145.6921024</v>
      </c>
      <c r="AF7" s="58">
        <v>12133653064.442739</v>
      </c>
      <c r="AG7" s="58">
        <v>10612069116.133684</v>
      </c>
      <c r="AH7" s="58">
        <v>12036577054.281368</v>
      </c>
      <c r="AI7" s="58">
        <v>15866910333.283648</v>
      </c>
      <c r="AJ7" s="58">
        <v>17570532732.557796</v>
      </c>
      <c r="AK7" s="58">
        <v>21352774971.278805</v>
      </c>
      <c r="AL7" s="58">
        <v>18985335480.498112</v>
      </c>
    </row>
    <row r="8" spans="1:38" s="15" customFormat="1" ht="18" customHeight="1" x14ac:dyDescent="0.3">
      <c r="A8" s="11" t="s">
        <v>11</v>
      </c>
      <c r="B8" s="12">
        <v>521.36437785459998</v>
      </c>
      <c r="C8" s="12">
        <v>18491.148569090383</v>
      </c>
      <c r="D8" s="12">
        <v>69955.204257574806</v>
      </c>
      <c r="E8" s="12">
        <v>814729.71516363486</v>
      </c>
      <c r="F8" s="12">
        <v>13637711.172030278</v>
      </c>
      <c r="G8" s="12">
        <v>671767587.74090874</v>
      </c>
      <c r="H8" s="12">
        <v>852540766.66666675</v>
      </c>
      <c r="I8" s="12">
        <v>651387420</v>
      </c>
      <c r="J8" s="12">
        <v>850106938.33333337</v>
      </c>
      <c r="K8" s="12">
        <v>1132233606.6666667</v>
      </c>
      <c r="L8" s="12">
        <v>876326583.33333337</v>
      </c>
      <c r="M8" s="12">
        <v>990634160</v>
      </c>
      <c r="N8" s="12">
        <v>1607121273.3333335</v>
      </c>
      <c r="O8" s="12">
        <v>1591864267.5</v>
      </c>
      <c r="P8" s="12">
        <v>1850835420.0000002</v>
      </c>
      <c r="Q8" s="12">
        <v>1653042527.5</v>
      </c>
      <c r="R8" s="12">
        <v>2045047013.3333337</v>
      </c>
      <c r="S8" s="12">
        <v>1956693454.1666667</v>
      </c>
      <c r="T8" s="12">
        <v>2219069375.0000005</v>
      </c>
      <c r="U8" s="12">
        <v>2506446070</v>
      </c>
      <c r="V8" s="12">
        <v>3162475519.999999</v>
      </c>
      <c r="W8" s="12">
        <v>3553422516.666667</v>
      </c>
      <c r="X8" s="12">
        <v>3182752625</v>
      </c>
      <c r="Y8" s="12">
        <v>2658906075</v>
      </c>
      <c r="Z8" s="12">
        <v>4217142773.3333335</v>
      </c>
      <c r="AA8" s="12">
        <v>5171920126.666666</v>
      </c>
      <c r="AB8" s="12">
        <v>5463099412.499999</v>
      </c>
      <c r="AC8" s="57">
        <v>7253466233.333334</v>
      </c>
      <c r="AD8" s="57">
        <v>3930224624.6223211</v>
      </c>
      <c r="AE8" s="57">
        <v>3972479029.9872022</v>
      </c>
      <c r="AF8" s="57">
        <v>7883012846.8605156</v>
      </c>
      <c r="AG8" s="57">
        <v>7154121587.3150787</v>
      </c>
      <c r="AH8" s="57">
        <v>8401117336.5087318</v>
      </c>
      <c r="AI8" s="57">
        <v>11327646735.907143</v>
      </c>
      <c r="AJ8" s="57">
        <v>10774054198.392855</v>
      </c>
      <c r="AK8" s="57">
        <v>15333904857.837801</v>
      </c>
      <c r="AL8" s="57">
        <v>8188757034.8571424</v>
      </c>
    </row>
    <row r="9" spans="1:38" s="15" customFormat="1" ht="18" customHeight="1" x14ac:dyDescent="0.3">
      <c r="A9" s="16" t="s">
        <v>12</v>
      </c>
      <c r="B9" s="17">
        <v>319.71323373599995</v>
      </c>
      <c r="C9" s="17">
        <v>7173.5637719999859</v>
      </c>
      <c r="D9" s="17">
        <v>39777.881234363544</v>
      </c>
      <c r="E9" s="17">
        <v>400192.33169090824</v>
      </c>
      <c r="F9" s="17">
        <v>9360554.0388383567</v>
      </c>
      <c r="G9" s="17">
        <v>209695162.18628272</v>
      </c>
      <c r="H9" s="17">
        <v>297825885.55555552</v>
      </c>
      <c r="I9" s="17">
        <v>275008167.00000006</v>
      </c>
      <c r="J9" s="17">
        <v>399699665.44444454</v>
      </c>
      <c r="K9" s="17">
        <v>448766798.16666669</v>
      </c>
      <c r="L9" s="17">
        <v>365702573.88888884</v>
      </c>
      <c r="M9" s="17">
        <v>298341540.66666663</v>
      </c>
      <c r="N9" s="17">
        <v>427713675.22222221</v>
      </c>
      <c r="O9" s="17">
        <v>917921772.22222209</v>
      </c>
      <c r="P9" s="17">
        <v>937562615.33333349</v>
      </c>
      <c r="Q9" s="17">
        <v>841101011.66666651</v>
      </c>
      <c r="R9" s="17">
        <v>749490530.00000012</v>
      </c>
      <c r="S9" s="17">
        <v>675737959.44444442</v>
      </c>
      <c r="T9" s="17">
        <v>755586297.00000012</v>
      </c>
      <c r="U9" s="17">
        <v>951460284.99999988</v>
      </c>
      <c r="V9" s="17">
        <v>1245800735.8333333</v>
      </c>
      <c r="W9" s="17">
        <v>1325475458.9999998</v>
      </c>
      <c r="X9" s="17">
        <v>1228247028.6666665</v>
      </c>
      <c r="Y9" s="17">
        <v>1201486194.9999995</v>
      </c>
      <c r="Z9" s="17">
        <v>1219061081</v>
      </c>
      <c r="AA9" s="17">
        <v>1047623282.3333335</v>
      </c>
      <c r="AB9" s="17">
        <v>1299584686.2222223</v>
      </c>
      <c r="AC9" s="58">
        <v>1867197478.8833337</v>
      </c>
      <c r="AD9" s="58">
        <v>1372320200.4000001</v>
      </c>
      <c r="AE9" s="58">
        <v>1968517139.0740743</v>
      </c>
      <c r="AF9" s="58">
        <v>2192472776.666667</v>
      </c>
      <c r="AG9" s="58">
        <v>3113002806.081018</v>
      </c>
      <c r="AH9" s="58">
        <v>4056632816.4833331</v>
      </c>
      <c r="AI9" s="58">
        <v>3305513830.125</v>
      </c>
      <c r="AJ9" s="58">
        <v>4117731010.7361107</v>
      </c>
      <c r="AK9" s="58">
        <v>10662205344.000002</v>
      </c>
      <c r="AL9" s="58">
        <v>14464043025.6</v>
      </c>
    </row>
    <row r="10" spans="1:38" s="15" customFormat="1" ht="18" customHeight="1" x14ac:dyDescent="0.3">
      <c r="A10" s="11" t="s">
        <v>13</v>
      </c>
      <c r="B10" s="132" t="s">
        <v>116</v>
      </c>
      <c r="C10" s="132" t="s">
        <v>116</v>
      </c>
      <c r="D10" s="132" t="s">
        <v>116</v>
      </c>
      <c r="E10" s="132" t="s">
        <v>116</v>
      </c>
      <c r="F10" s="132" t="s">
        <v>116</v>
      </c>
      <c r="G10" s="132" t="s">
        <v>116</v>
      </c>
      <c r="H10" s="132" t="s">
        <v>116</v>
      </c>
      <c r="I10" s="132" t="s">
        <v>116</v>
      </c>
      <c r="J10" s="12">
        <v>4356566262.6867266</v>
      </c>
      <c r="K10" s="12">
        <v>4618545413.7573166</v>
      </c>
      <c r="L10" s="12">
        <v>4984747133.2731934</v>
      </c>
      <c r="M10" s="12">
        <v>5210903611.9710016</v>
      </c>
      <c r="N10" s="12">
        <v>3577472432.6406512</v>
      </c>
      <c r="O10" s="12">
        <v>5650279941.0016623</v>
      </c>
      <c r="P10" s="12">
        <v>5757112332.5772972</v>
      </c>
      <c r="Q10" s="12">
        <v>8928883212.1586914</v>
      </c>
      <c r="R10" s="12">
        <v>10027936251.450491</v>
      </c>
      <c r="S10" s="12">
        <v>10736237504.986557</v>
      </c>
      <c r="T10" s="12">
        <v>9461883984.9008064</v>
      </c>
      <c r="U10" s="12">
        <v>12137077353.090998</v>
      </c>
      <c r="V10" s="12">
        <v>10703871668.090029</v>
      </c>
      <c r="W10" s="12">
        <v>15065057225.880341</v>
      </c>
      <c r="X10" s="12">
        <v>18907101491.377693</v>
      </c>
      <c r="Y10" s="12">
        <v>18366877417.128712</v>
      </c>
      <c r="Z10" s="12">
        <v>13763371834.972214</v>
      </c>
      <c r="AA10" s="12">
        <v>17370349303.372169</v>
      </c>
      <c r="AB10" s="12">
        <v>18501944323.712646</v>
      </c>
      <c r="AC10" s="57">
        <v>24327181630.658501</v>
      </c>
      <c r="AD10" s="57">
        <v>20954758773.528381</v>
      </c>
      <c r="AE10" s="57">
        <v>24413572759.221554</v>
      </c>
      <c r="AF10" s="57">
        <v>19217836678.219009</v>
      </c>
      <c r="AG10" s="57">
        <v>31057403323.670135</v>
      </c>
      <c r="AH10" s="57">
        <v>40797220655.552811</v>
      </c>
      <c r="AI10" s="57">
        <v>56207669813.527473</v>
      </c>
      <c r="AJ10" s="57">
        <v>49484490226.672928</v>
      </c>
      <c r="AK10" s="57">
        <v>75980333431.347229</v>
      </c>
      <c r="AL10" s="57">
        <v>108124912218.83334</v>
      </c>
    </row>
    <row r="11" spans="1:38" s="15" customFormat="1" ht="18" customHeight="1" x14ac:dyDescent="0.3">
      <c r="A11" s="16" t="s">
        <v>14</v>
      </c>
      <c r="B11" s="17">
        <v>2353.0241088000075</v>
      </c>
      <c r="C11" s="17">
        <v>71524.579080454423</v>
      </c>
      <c r="D11" s="17">
        <v>368678.70657999744</v>
      </c>
      <c r="E11" s="17">
        <v>4309202.29786772</v>
      </c>
      <c r="F11" s="17">
        <v>80333732.073618799</v>
      </c>
      <c r="G11" s="17">
        <v>2381905466.5961661</v>
      </c>
      <c r="H11" s="17">
        <v>3797002961.2424998</v>
      </c>
      <c r="I11" s="17">
        <v>4808912201.8649998</v>
      </c>
      <c r="J11" s="17">
        <v>5536550153.3708334</v>
      </c>
      <c r="K11" s="17">
        <v>5841426413.7633333</v>
      </c>
      <c r="L11" s="17">
        <v>5026077424.6000004</v>
      </c>
      <c r="M11" s="17">
        <v>6090581647.934166</v>
      </c>
      <c r="N11" s="17">
        <v>8690527172.8166656</v>
      </c>
      <c r="O11" s="17">
        <v>9529390544.0933342</v>
      </c>
      <c r="P11" s="17">
        <v>11906435540.401667</v>
      </c>
      <c r="Q11" s="17">
        <v>11815374044.65</v>
      </c>
      <c r="R11" s="17">
        <v>13402438720.125</v>
      </c>
      <c r="S11" s="17">
        <v>18720067466.974998</v>
      </c>
      <c r="T11" s="17">
        <v>20370778788.555004</v>
      </c>
      <c r="U11" s="17">
        <v>20499573531.685001</v>
      </c>
      <c r="V11" s="17">
        <v>25531217254.960831</v>
      </c>
      <c r="W11" s="17">
        <v>30248871399.374168</v>
      </c>
      <c r="X11" s="17">
        <v>39480350898.462502</v>
      </c>
      <c r="Y11" s="17">
        <v>44852809944.617493</v>
      </c>
      <c r="Z11" s="17">
        <v>49491907759.139999</v>
      </c>
      <c r="AA11" s="17">
        <v>46821674402.733337</v>
      </c>
      <c r="AB11" s="17">
        <v>47379935282.485001</v>
      </c>
      <c r="AC11" s="58">
        <v>54847764816.973335</v>
      </c>
      <c r="AD11" s="58">
        <v>67770256158.099129</v>
      </c>
      <c r="AE11" s="58">
        <v>59719437962.306778</v>
      </c>
      <c r="AF11" s="58">
        <v>57215342576.149094</v>
      </c>
      <c r="AG11" s="58">
        <v>62672959447.102455</v>
      </c>
      <c r="AH11" s="58">
        <v>83768258560.248215</v>
      </c>
      <c r="AI11" s="58">
        <v>99826459026.045578</v>
      </c>
      <c r="AJ11" s="58">
        <v>113954876456.34621</v>
      </c>
      <c r="AK11" s="58">
        <v>115947618538.12834</v>
      </c>
      <c r="AL11" s="58">
        <v>121848024208.99997</v>
      </c>
    </row>
    <row r="12" spans="1:38" s="15" customFormat="1" ht="18" customHeight="1" x14ac:dyDescent="0.3">
      <c r="A12" s="11" t="s">
        <v>77</v>
      </c>
      <c r="B12" s="12">
        <v>216.87585816325</v>
      </c>
      <c r="C12" s="12">
        <v>10589.449718181395</v>
      </c>
      <c r="D12" s="12">
        <v>26424.165449696655</v>
      </c>
      <c r="E12" s="12">
        <v>508536.90059454413</v>
      </c>
      <c r="F12" s="12">
        <v>5791032.2909090873</v>
      </c>
      <c r="G12" s="12">
        <v>206384299.75303018</v>
      </c>
      <c r="H12" s="12">
        <v>409917375.83333331</v>
      </c>
      <c r="I12" s="12">
        <v>200972531.66666666</v>
      </c>
      <c r="J12" s="12">
        <v>426615711.66666669</v>
      </c>
      <c r="K12" s="12">
        <v>366027973.33333325</v>
      </c>
      <c r="L12" s="12">
        <v>406997543.33333343</v>
      </c>
      <c r="M12" s="12">
        <v>471205289.99999994</v>
      </c>
      <c r="N12" s="12">
        <v>526055300</v>
      </c>
      <c r="O12" s="12">
        <v>635504480</v>
      </c>
      <c r="P12" s="12">
        <v>695888993.33333325</v>
      </c>
      <c r="Q12" s="12">
        <v>873959310</v>
      </c>
      <c r="R12" s="12">
        <v>677870050.00000012</v>
      </c>
      <c r="S12" s="12">
        <v>656128687.5</v>
      </c>
      <c r="T12" s="12">
        <v>739096876.66666687</v>
      </c>
      <c r="U12" s="12">
        <v>1299851921.666667</v>
      </c>
      <c r="V12" s="12">
        <v>1201923135</v>
      </c>
      <c r="W12" s="12">
        <v>2086440090</v>
      </c>
      <c r="X12" s="12">
        <v>892409290</v>
      </c>
      <c r="Y12" s="12">
        <v>1229499571.4291668</v>
      </c>
      <c r="Z12" s="12">
        <v>2890402300.2384262</v>
      </c>
      <c r="AA12" s="12">
        <v>3561767197.3333335</v>
      </c>
      <c r="AB12" s="12">
        <v>2880857369.1212301</v>
      </c>
      <c r="AC12" s="57">
        <v>3618382365.8888884</v>
      </c>
      <c r="AD12" s="57">
        <v>1847113309.2003965</v>
      </c>
      <c r="AE12" s="133" t="s">
        <v>116</v>
      </c>
      <c r="AF12" s="133" t="s">
        <v>116</v>
      </c>
      <c r="AG12" s="133" t="s">
        <v>116</v>
      </c>
      <c r="AH12" s="133" t="s">
        <v>116</v>
      </c>
      <c r="AI12" s="133" t="s">
        <v>116</v>
      </c>
      <c r="AJ12" s="133" t="s">
        <v>116</v>
      </c>
      <c r="AK12" s="133" t="s">
        <v>116</v>
      </c>
      <c r="AL12" s="133" t="s">
        <v>116</v>
      </c>
    </row>
    <row r="13" spans="1:38" s="15" customFormat="1" ht="18" customHeight="1" x14ac:dyDescent="0.3">
      <c r="A13" s="16" t="s">
        <v>15</v>
      </c>
      <c r="B13" s="17">
        <v>1363.3296596704165</v>
      </c>
      <c r="C13" s="17">
        <v>32225.753918483813</v>
      </c>
      <c r="D13" s="17">
        <v>180283.43097787772</v>
      </c>
      <c r="E13" s="17">
        <v>1892598.6659424205</v>
      </c>
      <c r="F13" s="17">
        <v>43549202.000757523</v>
      </c>
      <c r="G13" s="17">
        <v>1487215138.9818177</v>
      </c>
      <c r="H13" s="17">
        <v>1468173720</v>
      </c>
      <c r="I13" s="17">
        <v>1493698596.6666665</v>
      </c>
      <c r="J13" s="17">
        <v>1673376500.8333328</v>
      </c>
      <c r="K13" s="17">
        <v>2286102963.333333</v>
      </c>
      <c r="L13" s="17">
        <v>2132622633.3333335</v>
      </c>
      <c r="M13" s="17">
        <v>1884711550</v>
      </c>
      <c r="N13" s="17">
        <v>2335086418.3333335</v>
      </c>
      <c r="O13" s="17">
        <v>3518755153.333333</v>
      </c>
      <c r="P13" s="17">
        <v>4468758093.333333</v>
      </c>
      <c r="Q13" s="17">
        <v>3421948073.3333335</v>
      </c>
      <c r="R13" s="17">
        <v>3943241505</v>
      </c>
      <c r="S13" s="17">
        <v>4117596813.333333</v>
      </c>
      <c r="T13" s="17">
        <v>4138650709.9999995</v>
      </c>
      <c r="U13" s="17">
        <v>8252063361.666667</v>
      </c>
      <c r="V13" s="17">
        <v>5703763140.833333</v>
      </c>
      <c r="W13" s="17">
        <v>5435949020.833334</v>
      </c>
      <c r="X13" s="17">
        <v>5794317320</v>
      </c>
      <c r="Y13" s="17">
        <v>7229355679.999999</v>
      </c>
      <c r="Z13" s="17">
        <v>8036604221.6666651</v>
      </c>
      <c r="AA13" s="17">
        <v>7673639891.6666679</v>
      </c>
      <c r="AB13" s="17">
        <v>7835760501.666666</v>
      </c>
      <c r="AC13" s="58">
        <v>11156497890.000002</v>
      </c>
      <c r="AD13" s="58">
        <v>8255612097.8445158</v>
      </c>
      <c r="AE13" s="58">
        <v>5651089792.5113811</v>
      </c>
      <c r="AF13" s="58">
        <v>9394188124.3795967</v>
      </c>
      <c r="AG13" s="58">
        <v>11759422986.610933</v>
      </c>
      <c r="AH13" s="58">
        <v>12733782721.472197</v>
      </c>
      <c r="AI13" s="58">
        <v>15464378427.866756</v>
      </c>
      <c r="AJ13" s="58">
        <v>14980658387.613028</v>
      </c>
      <c r="AK13" s="58">
        <v>14269961744.231058</v>
      </c>
      <c r="AL13" s="58">
        <v>15447138701.433336</v>
      </c>
    </row>
    <row r="14" spans="1:38" s="15" customFormat="1" ht="18" customHeight="1" x14ac:dyDescent="0.3">
      <c r="A14" s="11" t="s">
        <v>78</v>
      </c>
      <c r="B14" s="12">
        <v>465.39013642133324</v>
      </c>
      <c r="C14" s="12">
        <v>13733.750886666438</v>
      </c>
      <c r="D14" s="12">
        <v>64642.659459999843</v>
      </c>
      <c r="E14" s="12">
        <v>1430556.2739999983</v>
      </c>
      <c r="F14" s="12">
        <v>31763897.805605963</v>
      </c>
      <c r="G14" s="12">
        <v>543731616.14333308</v>
      </c>
      <c r="H14" s="12">
        <v>749336993.33333337</v>
      </c>
      <c r="I14" s="12">
        <v>967575139.99999988</v>
      </c>
      <c r="J14" s="12">
        <v>1173010680</v>
      </c>
      <c r="K14" s="12">
        <v>1027551099.9999999</v>
      </c>
      <c r="L14" s="12">
        <v>1337216020.8333333</v>
      </c>
      <c r="M14" s="12">
        <v>1276848717.5</v>
      </c>
      <c r="N14" s="12">
        <v>1360148212.5</v>
      </c>
      <c r="O14" s="12">
        <v>1796428120</v>
      </c>
      <c r="P14" s="12">
        <v>2384193333.3333335</v>
      </c>
      <c r="Q14" s="12">
        <v>3837135365</v>
      </c>
      <c r="R14" s="12">
        <v>3994263928.3333335</v>
      </c>
      <c r="S14" s="12">
        <v>4145504187.500001</v>
      </c>
      <c r="T14" s="12">
        <v>4518406327.5</v>
      </c>
      <c r="U14" s="12">
        <v>4943937765</v>
      </c>
      <c r="V14" s="12">
        <v>5070589125.000001</v>
      </c>
      <c r="W14" s="12">
        <v>4399957945</v>
      </c>
      <c r="X14" s="12">
        <v>4735073397.5</v>
      </c>
      <c r="Y14" s="12">
        <v>5365841000</v>
      </c>
      <c r="Z14" s="12">
        <v>6467241482.499999</v>
      </c>
      <c r="AA14" s="12">
        <v>6954505076.666667</v>
      </c>
      <c r="AB14" s="12">
        <v>7188204562.4999981</v>
      </c>
      <c r="AC14" s="57">
        <v>5622802863.3333349</v>
      </c>
      <c r="AD14" s="133" t="s">
        <v>116</v>
      </c>
      <c r="AE14" s="133" t="s">
        <v>116</v>
      </c>
      <c r="AF14" s="133" t="s">
        <v>116</v>
      </c>
      <c r="AG14" s="133" t="s">
        <v>116</v>
      </c>
      <c r="AH14" s="133" t="s">
        <v>116</v>
      </c>
      <c r="AI14" s="133" t="s">
        <v>116</v>
      </c>
      <c r="AJ14" s="133" t="s">
        <v>116</v>
      </c>
      <c r="AK14" s="133" t="s">
        <v>116</v>
      </c>
      <c r="AL14" s="133" t="s">
        <v>116</v>
      </c>
    </row>
    <row r="15" spans="1:38" s="15" customFormat="1" ht="18" customHeight="1" x14ac:dyDescent="0.3">
      <c r="A15" s="16" t="s">
        <v>16</v>
      </c>
      <c r="B15" s="17">
        <v>1717.3046439798609</v>
      </c>
      <c r="C15" s="17">
        <v>50152.227045054133</v>
      </c>
      <c r="D15" s="17">
        <v>237183.72628517234</v>
      </c>
      <c r="E15" s="17">
        <v>2458516.7581091789</v>
      </c>
      <c r="F15" s="17">
        <v>46232654.193628974</v>
      </c>
      <c r="G15" s="17">
        <v>1384091466.9180603</v>
      </c>
      <c r="H15" s="17">
        <v>2533377129.25</v>
      </c>
      <c r="I15" s="17">
        <v>1934002176.8999999</v>
      </c>
      <c r="J15" s="17">
        <v>2580281428.625</v>
      </c>
      <c r="K15" s="17">
        <v>2926020671.8666668</v>
      </c>
      <c r="L15" s="17">
        <v>3216510279.8000002</v>
      </c>
      <c r="M15" s="17">
        <v>2324109339.4583335</v>
      </c>
      <c r="N15" s="17">
        <v>4601449691.250001</v>
      </c>
      <c r="O15" s="17">
        <v>6316805166.1458321</v>
      </c>
      <c r="P15" s="17">
        <v>6482420531.562501</v>
      </c>
      <c r="Q15" s="17">
        <v>6336355314.114583</v>
      </c>
      <c r="R15" s="17">
        <v>6412361610.833333</v>
      </c>
      <c r="S15" s="17">
        <v>7778313347.1875</v>
      </c>
      <c r="T15" s="17">
        <v>7702690430.989584</v>
      </c>
      <c r="U15" s="17">
        <v>8818141727.708334</v>
      </c>
      <c r="V15" s="17">
        <v>7864068567.7083321</v>
      </c>
      <c r="W15" s="17">
        <v>10777114762.343752</v>
      </c>
      <c r="X15" s="17">
        <v>12999978923.75</v>
      </c>
      <c r="Y15" s="17">
        <v>8176914926.3071899</v>
      </c>
      <c r="Z15" s="17">
        <v>9379218562.7799568</v>
      </c>
      <c r="AA15" s="17">
        <v>11920209635.284313</v>
      </c>
      <c r="AB15" s="17">
        <v>10776007761.234659</v>
      </c>
      <c r="AC15" s="58">
        <v>12662920328.503759</v>
      </c>
      <c r="AD15" s="58">
        <v>14210268761.668056</v>
      </c>
      <c r="AE15" s="58">
        <v>12197230167.896799</v>
      </c>
      <c r="AF15" s="58">
        <v>12940125196.989157</v>
      </c>
      <c r="AG15" s="58">
        <v>13269499011.652142</v>
      </c>
      <c r="AH15" s="58">
        <v>16523276397.118587</v>
      </c>
      <c r="AI15" s="58">
        <v>17514066558.753246</v>
      </c>
      <c r="AJ15" s="58">
        <v>20695521533.833736</v>
      </c>
      <c r="AK15" s="58">
        <v>27272737906.822578</v>
      </c>
      <c r="AL15" s="58">
        <v>34200694555.479309</v>
      </c>
    </row>
    <row r="16" spans="1:38" s="15" customFormat="1" ht="18" customHeight="1" x14ac:dyDescent="0.3">
      <c r="A16" s="11" t="s">
        <v>17</v>
      </c>
      <c r="B16" s="12">
        <v>32.524303345275001</v>
      </c>
      <c r="C16" s="12">
        <v>628.20415454539841</v>
      </c>
      <c r="D16" s="12">
        <v>2408.2383490908433</v>
      </c>
      <c r="E16" s="12">
        <v>22409.089018181778</v>
      </c>
      <c r="F16" s="12">
        <v>250557.14509090854</v>
      </c>
      <c r="G16" s="12">
        <v>7336662.1490909075</v>
      </c>
      <c r="H16" s="12">
        <v>7762390.8333333349</v>
      </c>
      <c r="I16" s="12">
        <v>10508775</v>
      </c>
      <c r="J16" s="12">
        <v>23711616.666666664</v>
      </c>
      <c r="K16" s="12">
        <v>3934407.5</v>
      </c>
      <c r="L16" s="12">
        <v>10618645</v>
      </c>
      <c r="M16" s="12">
        <v>50717397.5</v>
      </c>
      <c r="N16" s="12">
        <v>37897708.333333336</v>
      </c>
      <c r="O16" s="12">
        <v>32473327.500000004</v>
      </c>
      <c r="P16" s="12">
        <v>53905155</v>
      </c>
      <c r="Q16" s="12">
        <v>109724170.83333334</v>
      </c>
      <c r="R16" s="12">
        <v>112112661.66666667</v>
      </c>
      <c r="S16" s="12">
        <v>52329166.666666672</v>
      </c>
      <c r="T16" s="12">
        <v>59703049.999999993</v>
      </c>
      <c r="U16" s="12">
        <v>87940800</v>
      </c>
      <c r="V16" s="132" t="s">
        <v>116</v>
      </c>
      <c r="W16" s="132" t="s">
        <v>116</v>
      </c>
      <c r="X16" s="12">
        <v>136921543.30767196</v>
      </c>
      <c r="Y16" s="12">
        <v>33340028.756481476</v>
      </c>
      <c r="Z16" s="12">
        <v>17115329.231481481</v>
      </c>
      <c r="AA16" s="12">
        <v>51987981.371671081</v>
      </c>
      <c r="AB16" s="12">
        <v>61669266.614583336</v>
      </c>
      <c r="AC16" s="57">
        <v>44645748.425925925</v>
      </c>
      <c r="AD16" s="57">
        <v>27339745.041666668</v>
      </c>
      <c r="AE16" s="57">
        <v>47209183.375000007</v>
      </c>
      <c r="AF16" s="57">
        <v>64596399.166666664</v>
      </c>
      <c r="AG16" s="57">
        <v>89254509.833333358</v>
      </c>
      <c r="AH16" s="57">
        <v>87513427.222222224</v>
      </c>
      <c r="AI16" s="57">
        <v>125214829.44444445</v>
      </c>
      <c r="AJ16" s="57">
        <v>103161164.19444445</v>
      </c>
      <c r="AK16" s="57">
        <v>118708581.49305555</v>
      </c>
      <c r="AL16" s="57">
        <v>171340216.66666666</v>
      </c>
    </row>
    <row r="17" spans="1:60" s="15" customFormat="1" ht="18" customHeight="1" x14ac:dyDescent="0.3">
      <c r="A17" s="16" t="s">
        <v>18</v>
      </c>
      <c r="B17" s="17">
        <v>1006.9194772777499</v>
      </c>
      <c r="C17" s="17">
        <v>24801.942351000042</v>
      </c>
      <c r="D17" s="17">
        <v>140300.24866469693</v>
      </c>
      <c r="E17" s="17">
        <v>1591973.1575999998</v>
      </c>
      <c r="F17" s="17">
        <v>30765266.008600909</v>
      </c>
      <c r="G17" s="17">
        <v>657385947.94069695</v>
      </c>
      <c r="H17" s="17">
        <v>1673847620.5600002</v>
      </c>
      <c r="I17" s="17">
        <v>1359584037.8374996</v>
      </c>
      <c r="J17" s="17">
        <v>1530449248.9416666</v>
      </c>
      <c r="K17" s="17">
        <v>1446695294.7958331</v>
      </c>
      <c r="L17" s="17">
        <v>1698478984.6500001</v>
      </c>
      <c r="M17" s="17">
        <v>1793490900.7166669</v>
      </c>
      <c r="N17" s="17">
        <v>1560542105.9216666</v>
      </c>
      <c r="O17" s="17">
        <v>1809194201.4699996</v>
      </c>
      <c r="P17" s="17">
        <v>3121548195.4799995</v>
      </c>
      <c r="Q17" s="17">
        <v>4500963456.3891678</v>
      </c>
      <c r="R17" s="17">
        <v>4460615666.1625004</v>
      </c>
      <c r="S17" s="17">
        <v>4344290240.04</v>
      </c>
      <c r="T17" s="17">
        <v>4253138829.3333335</v>
      </c>
      <c r="U17" s="17">
        <v>5078383957.0199995</v>
      </c>
      <c r="V17" s="17">
        <v>5169718998.3891668</v>
      </c>
      <c r="W17" s="17">
        <v>5697002731.2366667</v>
      </c>
      <c r="X17" s="17">
        <v>5869390705.4433336</v>
      </c>
      <c r="Y17" s="17">
        <v>5645916465</v>
      </c>
      <c r="Z17" s="17">
        <v>6411535177.7400017</v>
      </c>
      <c r="AA17" s="17">
        <v>7203277316.8133335</v>
      </c>
      <c r="AB17" s="17">
        <v>6840507460.2400007</v>
      </c>
      <c r="AC17" s="58">
        <v>6335032583.3275003</v>
      </c>
      <c r="AD17" s="58">
        <v>11981538798.777378</v>
      </c>
      <c r="AE17" s="58">
        <v>9571926482.0574131</v>
      </c>
      <c r="AF17" s="58">
        <v>8328214328.984766</v>
      </c>
      <c r="AG17" s="58">
        <v>9371144091.7869492</v>
      </c>
      <c r="AH17" s="58">
        <v>11242296737.796091</v>
      </c>
      <c r="AI17" s="58">
        <v>14629240730.035128</v>
      </c>
      <c r="AJ17" s="58">
        <v>20276058784.365215</v>
      </c>
      <c r="AK17" s="58">
        <v>18732187390.679066</v>
      </c>
      <c r="AL17" s="58">
        <v>18905181644.979668</v>
      </c>
    </row>
    <row r="18" spans="1:60" s="15" customFormat="1" ht="18" customHeight="1" x14ac:dyDescent="0.3">
      <c r="A18" s="11" t="s">
        <v>19</v>
      </c>
      <c r="B18" s="12">
        <v>2852.3663825664498</v>
      </c>
      <c r="C18" s="12">
        <v>72582.43159998933</v>
      </c>
      <c r="D18" s="12">
        <v>408414.72636362369</v>
      </c>
      <c r="E18" s="12">
        <v>5321377.8625090746</v>
      </c>
      <c r="F18" s="12">
        <v>120037644.31821188</v>
      </c>
      <c r="G18" s="12">
        <v>2598222421.212121</v>
      </c>
      <c r="H18" s="12">
        <v>4080031987.5</v>
      </c>
      <c r="I18" s="12">
        <v>4274944035.8333335</v>
      </c>
      <c r="J18" s="12">
        <v>4118505500</v>
      </c>
      <c r="K18" s="12">
        <v>4242917930</v>
      </c>
      <c r="L18" s="12">
        <v>5480711430</v>
      </c>
      <c r="M18" s="12">
        <v>6518068333.333334</v>
      </c>
      <c r="N18" s="12">
        <v>6818902187.499999</v>
      </c>
      <c r="O18" s="12">
        <v>9374567013.3333321</v>
      </c>
      <c r="P18" s="12">
        <v>15303652283.333336</v>
      </c>
      <c r="Q18" s="12">
        <v>12640736295</v>
      </c>
      <c r="R18" s="12">
        <v>10124338293.333334</v>
      </c>
      <c r="S18" s="12">
        <v>11198690212.5</v>
      </c>
      <c r="T18" s="12">
        <v>17414165847.500004</v>
      </c>
      <c r="U18" s="12">
        <v>23327783187.5</v>
      </c>
      <c r="V18" s="12">
        <v>16061276966.666666</v>
      </c>
      <c r="W18" s="12">
        <v>16563144407.499998</v>
      </c>
      <c r="X18" s="12">
        <v>23980284579.16666</v>
      </c>
      <c r="Y18" s="12">
        <v>31449718425.000004</v>
      </c>
      <c r="Z18" s="12">
        <v>34985724130</v>
      </c>
      <c r="AA18" s="12">
        <v>34946499875</v>
      </c>
      <c r="AB18" s="12">
        <v>39230941760.000008</v>
      </c>
      <c r="AC18" s="57">
        <v>41105237804.999992</v>
      </c>
      <c r="AD18" s="57">
        <v>47649322971.041962</v>
      </c>
      <c r="AE18" s="57">
        <v>46151037062.077347</v>
      </c>
      <c r="AF18" s="57">
        <v>61747463001.072777</v>
      </c>
      <c r="AG18" s="57">
        <v>88095577275.230515</v>
      </c>
      <c r="AH18" s="57">
        <v>120626653311.38708</v>
      </c>
      <c r="AI18" s="57">
        <v>149478961227.7345</v>
      </c>
      <c r="AJ18" s="57">
        <v>142333604676.15829</v>
      </c>
      <c r="AK18" s="57">
        <v>120106723059.08273</v>
      </c>
      <c r="AL18" s="57">
        <v>140891521757.21744</v>
      </c>
    </row>
    <row r="19" spans="1:60" s="15" customFormat="1" ht="18" customHeight="1" x14ac:dyDescent="0.3">
      <c r="A19" s="16" t="s">
        <v>79</v>
      </c>
      <c r="B19" s="17">
        <v>90.660552255166664</v>
      </c>
      <c r="C19" s="17">
        <v>1656.1754999999605</v>
      </c>
      <c r="D19" s="17">
        <v>6823.3121981817831</v>
      </c>
      <c r="E19" s="17">
        <v>29019.177773939318</v>
      </c>
      <c r="F19" s="17">
        <v>940374.28545454412</v>
      </c>
      <c r="G19" s="17">
        <v>30980989.875757571</v>
      </c>
      <c r="H19" s="17">
        <v>52950170.000000007</v>
      </c>
      <c r="I19" s="17">
        <v>49204155</v>
      </c>
      <c r="J19" s="17">
        <v>72033245.000000015</v>
      </c>
      <c r="K19" s="17">
        <v>98788458.333333343</v>
      </c>
      <c r="L19" s="17">
        <v>161324928.33333331</v>
      </c>
      <c r="M19" s="17">
        <v>256546025.00000003</v>
      </c>
      <c r="N19" s="17">
        <v>148665100.00000003</v>
      </c>
      <c r="O19" s="17">
        <v>192168640</v>
      </c>
      <c r="P19" s="17">
        <v>247228962.49999994</v>
      </c>
      <c r="Q19" s="17">
        <v>197728999.99999997</v>
      </c>
      <c r="R19" s="17">
        <v>219573968.33333334</v>
      </c>
      <c r="S19" s="17">
        <v>211364940</v>
      </c>
      <c r="T19" s="17">
        <v>265001275.00000003</v>
      </c>
      <c r="U19" s="17">
        <v>284373999.99999994</v>
      </c>
      <c r="V19" s="17">
        <v>250287488.57142857</v>
      </c>
      <c r="W19" s="17">
        <v>276326100</v>
      </c>
      <c r="X19" s="17">
        <v>369407974.99999994</v>
      </c>
      <c r="Y19" s="17">
        <v>439373816.66666675</v>
      </c>
      <c r="Z19" s="17">
        <v>469733720</v>
      </c>
      <c r="AA19" s="17">
        <v>678329584.16666675</v>
      </c>
      <c r="AB19" s="17">
        <v>1260002741.3888888</v>
      </c>
      <c r="AC19" s="58">
        <v>1334117325</v>
      </c>
      <c r="AD19" s="58">
        <v>1347923038.8888888</v>
      </c>
      <c r="AE19" s="134" t="s">
        <v>116</v>
      </c>
      <c r="AF19" s="134" t="s">
        <v>116</v>
      </c>
      <c r="AG19" s="134" t="s">
        <v>116</v>
      </c>
      <c r="AH19" s="134" t="s">
        <v>116</v>
      </c>
      <c r="AI19" s="134" t="s">
        <v>116</v>
      </c>
      <c r="AJ19" s="134" t="s">
        <v>116</v>
      </c>
      <c r="AK19" s="134" t="s">
        <v>116</v>
      </c>
      <c r="AL19" s="134" t="s">
        <v>116</v>
      </c>
    </row>
    <row r="20" spans="1:60" s="15" customFormat="1" ht="18" customHeight="1" x14ac:dyDescent="0.3">
      <c r="A20" s="11" t="s">
        <v>20</v>
      </c>
      <c r="B20" s="12">
        <v>4190.8228309800661</v>
      </c>
      <c r="C20" s="12">
        <v>76009.611279993362</v>
      </c>
      <c r="D20" s="12">
        <v>359186.33518181124</v>
      </c>
      <c r="E20" s="12">
        <v>5352226.9645605981</v>
      </c>
      <c r="F20" s="12">
        <v>136055876.44272679</v>
      </c>
      <c r="G20" s="12">
        <v>3030645502.014544</v>
      </c>
      <c r="H20" s="12">
        <v>4152026314.9999995</v>
      </c>
      <c r="I20" s="12">
        <v>5366992476.6666651</v>
      </c>
      <c r="J20" s="12">
        <v>7082023993.333334</v>
      </c>
      <c r="K20" s="12">
        <v>7044174000</v>
      </c>
      <c r="L20" s="12">
        <v>8160035346.6666679</v>
      </c>
      <c r="M20" s="12">
        <v>9381286098.333334</v>
      </c>
      <c r="N20" s="12">
        <v>13425487562.5</v>
      </c>
      <c r="O20" s="12">
        <v>21123988363.333336</v>
      </c>
      <c r="P20" s="12">
        <v>32016987999.999996</v>
      </c>
      <c r="Q20" s="12">
        <v>32744252677.499996</v>
      </c>
      <c r="R20" s="12">
        <v>24780654161.666664</v>
      </c>
      <c r="S20" s="12">
        <v>22035148800.000004</v>
      </c>
      <c r="T20" s="12">
        <v>29362514789.999996</v>
      </c>
      <c r="U20" s="12">
        <v>42631087312.5</v>
      </c>
      <c r="V20" s="12">
        <v>42101067951.666656</v>
      </c>
      <c r="W20" s="12">
        <v>43545683900</v>
      </c>
      <c r="X20" s="12">
        <v>52744890135</v>
      </c>
      <c r="Y20" s="12">
        <v>65300116524.999992</v>
      </c>
      <c r="Z20" s="12">
        <v>81996891923.333344</v>
      </c>
      <c r="AA20" s="12">
        <v>87483524333.333328</v>
      </c>
      <c r="AB20" s="12">
        <v>102825507480</v>
      </c>
      <c r="AC20" s="57">
        <v>114031358828.33334</v>
      </c>
      <c r="AD20" s="57">
        <v>117564168223.70663</v>
      </c>
      <c r="AE20" s="57">
        <v>139435902508.3494</v>
      </c>
      <c r="AF20" s="57">
        <v>133664023349.15105</v>
      </c>
      <c r="AG20" s="57">
        <v>215847331971.2728</v>
      </c>
      <c r="AH20" s="57">
        <v>350531791377.44531</v>
      </c>
      <c r="AI20" s="57">
        <v>340041241956.79907</v>
      </c>
      <c r="AJ20" s="57">
        <v>335502885098.81482</v>
      </c>
      <c r="AK20" s="57">
        <v>287229399506.56409</v>
      </c>
      <c r="AL20" s="57">
        <v>360794066041.53333</v>
      </c>
    </row>
    <row r="21" spans="1:60" s="15" customFormat="1" ht="18" customHeight="1" x14ac:dyDescent="0.3">
      <c r="A21" s="16" t="s">
        <v>21</v>
      </c>
      <c r="B21" s="17">
        <v>576.24783106375003</v>
      </c>
      <c r="C21" s="17">
        <v>20187.522692726157</v>
      </c>
      <c r="D21" s="17">
        <v>83995.0837824232</v>
      </c>
      <c r="E21" s="17">
        <v>712176.95570151415</v>
      </c>
      <c r="F21" s="17">
        <v>17110587.095151484</v>
      </c>
      <c r="G21" s="17">
        <v>712817305.22727263</v>
      </c>
      <c r="H21" s="17">
        <v>1040756133.3333333</v>
      </c>
      <c r="I21" s="17">
        <v>913776314.99999988</v>
      </c>
      <c r="J21" s="17">
        <v>867483829.16666663</v>
      </c>
      <c r="K21" s="17">
        <v>1136845325.0000002</v>
      </c>
      <c r="L21" s="17">
        <v>1275199615.8333335</v>
      </c>
      <c r="M21" s="17">
        <v>1317102685</v>
      </c>
      <c r="N21" s="17">
        <v>1337032225.833333</v>
      </c>
      <c r="O21" s="17">
        <v>1838637909.9999998</v>
      </c>
      <c r="P21" s="17">
        <v>2682555446.6666665</v>
      </c>
      <c r="Q21" s="17">
        <v>3216743805</v>
      </c>
      <c r="R21" s="17">
        <v>3228529755</v>
      </c>
      <c r="S21" s="17">
        <v>2847047900</v>
      </c>
      <c r="T21" s="17">
        <v>3342591840</v>
      </c>
      <c r="U21" s="17">
        <v>4122275620.8333325</v>
      </c>
      <c r="V21" s="17">
        <v>4978600935</v>
      </c>
      <c r="W21" s="17">
        <v>5229383906.666667</v>
      </c>
      <c r="X21" s="17">
        <v>6231159863.3333321</v>
      </c>
      <c r="Y21" s="17">
        <v>6188691037.5</v>
      </c>
      <c r="Z21" s="17">
        <v>12500123310</v>
      </c>
      <c r="AA21" s="17">
        <v>13833428054.999998</v>
      </c>
      <c r="AB21" s="17">
        <v>13711322700.833332</v>
      </c>
      <c r="AC21" s="58">
        <v>8613382594.1666679</v>
      </c>
      <c r="AD21" s="58">
        <v>8215368644.5347319</v>
      </c>
      <c r="AE21" s="58">
        <v>9184786252.9714222</v>
      </c>
      <c r="AF21" s="58">
        <v>10053006182.868132</v>
      </c>
      <c r="AG21" s="58">
        <v>9871270697.1446228</v>
      </c>
      <c r="AH21" s="58">
        <v>11082141923.274132</v>
      </c>
      <c r="AI21" s="58">
        <v>15055298052.156775</v>
      </c>
      <c r="AJ21" s="58">
        <v>17874340707.435989</v>
      </c>
      <c r="AK21" s="58">
        <v>19746399199.713196</v>
      </c>
      <c r="AL21" s="58">
        <v>15091693775.300167</v>
      </c>
    </row>
    <row r="22" spans="1:60" s="15" customFormat="1" ht="18" customHeight="1" x14ac:dyDescent="0.3">
      <c r="A22" s="11" t="s">
        <v>22</v>
      </c>
      <c r="B22" s="12">
        <v>759.25805036960014</v>
      </c>
      <c r="C22" s="12">
        <v>9563.5642396953062</v>
      </c>
      <c r="D22" s="12">
        <v>44422.330404241293</v>
      </c>
      <c r="E22" s="12">
        <v>582034.18493999902</v>
      </c>
      <c r="F22" s="12">
        <v>8418462.6929090656</v>
      </c>
      <c r="G22" s="12">
        <v>179347026.81999996</v>
      </c>
      <c r="H22" s="12">
        <v>217298391.66666672</v>
      </c>
      <c r="I22" s="12">
        <v>622883649.16666675</v>
      </c>
      <c r="J22" s="12">
        <v>373360500</v>
      </c>
      <c r="K22" s="12">
        <v>348043206.66666657</v>
      </c>
      <c r="L22" s="12">
        <v>484165013.33333331</v>
      </c>
      <c r="M22" s="12">
        <v>373921600.00000006</v>
      </c>
      <c r="N22" s="12">
        <v>844455249.16666651</v>
      </c>
      <c r="O22" s="12">
        <v>1156857605</v>
      </c>
      <c r="P22" s="12">
        <v>2799842500</v>
      </c>
      <c r="Q22" s="12">
        <v>2385726860</v>
      </c>
      <c r="R22" s="12">
        <v>1611164874.9999998</v>
      </c>
      <c r="S22" s="12">
        <v>844848320.00000012</v>
      </c>
      <c r="T22" s="12">
        <v>1817041841.6666663</v>
      </c>
      <c r="U22" s="12">
        <v>3068814200.8333325</v>
      </c>
      <c r="V22" s="12">
        <v>2161236937.5</v>
      </c>
      <c r="W22" s="12">
        <v>2555926041.6666675</v>
      </c>
      <c r="X22" s="12">
        <v>2389818060</v>
      </c>
      <c r="Y22" s="12">
        <v>3035735808.7874999</v>
      </c>
      <c r="Z22" s="12">
        <v>4295947734.3254929</v>
      </c>
      <c r="AA22" s="12">
        <v>3869218690.7101841</v>
      </c>
      <c r="AB22" s="12">
        <v>3407161389.3887672</v>
      </c>
      <c r="AC22" s="57">
        <v>4914879704.0939531</v>
      </c>
      <c r="AD22" s="57">
        <v>2521762701.6236076</v>
      </c>
      <c r="AE22" s="57">
        <v>4298643280.3254786</v>
      </c>
      <c r="AF22" s="57">
        <v>4358302328.6542864</v>
      </c>
      <c r="AG22" s="57">
        <v>7156266204.7295094</v>
      </c>
      <c r="AH22" s="57">
        <v>11964887812.116203</v>
      </c>
      <c r="AI22" s="57">
        <v>18570259052.415653</v>
      </c>
      <c r="AJ22" s="57">
        <v>10435788683.76499</v>
      </c>
      <c r="AK22" s="57">
        <v>10130531832.605</v>
      </c>
      <c r="AL22" s="57">
        <v>10454187905.040003</v>
      </c>
    </row>
    <row r="23" spans="1:60" s="15" customFormat="1" ht="18" customHeight="1" x14ac:dyDescent="0.3">
      <c r="A23" s="16" t="s">
        <v>23</v>
      </c>
      <c r="B23" s="17">
        <v>161.66987004653333</v>
      </c>
      <c r="C23" s="17">
        <v>5279.5613109085971</v>
      </c>
      <c r="D23" s="17">
        <v>11847.289880605813</v>
      </c>
      <c r="E23" s="17">
        <v>28636.008479999869</v>
      </c>
      <c r="F23" s="17">
        <v>892941.22045454418</v>
      </c>
      <c r="G23" s="17">
        <v>82238570.909090906</v>
      </c>
      <c r="H23" s="17">
        <v>235626841.66666669</v>
      </c>
      <c r="I23" s="17">
        <v>112438078.33333333</v>
      </c>
      <c r="J23" s="17">
        <v>203378326.66666663</v>
      </c>
      <c r="K23" s="17">
        <v>677558000</v>
      </c>
      <c r="L23" s="17">
        <v>624105000</v>
      </c>
      <c r="M23" s="17">
        <v>280025080.00000006</v>
      </c>
      <c r="N23" s="17">
        <v>639381715.99999988</v>
      </c>
      <c r="O23" s="17">
        <v>685359973.33333325</v>
      </c>
      <c r="P23" s="17">
        <v>1097665623.3333333</v>
      </c>
      <c r="Q23" s="17">
        <v>2214720130</v>
      </c>
      <c r="R23" s="17">
        <v>955237099.99999976</v>
      </c>
      <c r="S23" s="17">
        <v>849565753.33333325</v>
      </c>
      <c r="T23" s="17">
        <v>1984182900.0000005</v>
      </c>
      <c r="U23" s="17">
        <v>1089763766.6666665</v>
      </c>
      <c r="V23" s="17">
        <v>3540718162.9999995</v>
      </c>
      <c r="W23" s="17">
        <v>2997827911.6666665</v>
      </c>
      <c r="X23" s="17">
        <v>4420594933.333333</v>
      </c>
      <c r="Y23" s="17">
        <v>3932085266.666667</v>
      </c>
      <c r="Z23" s="17">
        <v>3646130794.7023811</v>
      </c>
      <c r="AA23" s="17">
        <v>3982047639.52877</v>
      </c>
      <c r="AB23" s="17">
        <v>3551184426.7777781</v>
      </c>
      <c r="AC23" s="58">
        <v>3409495636.2638884</v>
      </c>
      <c r="AD23" s="58">
        <v>5676414242.2222223</v>
      </c>
      <c r="AE23" s="58">
        <v>5113339859.3253975</v>
      </c>
      <c r="AF23" s="58">
        <v>5290465656.7063494</v>
      </c>
      <c r="AG23" s="58">
        <v>5216238797.7288361</v>
      </c>
      <c r="AH23" s="58">
        <v>6504821173.795352</v>
      </c>
      <c r="AI23" s="58">
        <v>6550124638.9399099</v>
      </c>
      <c r="AJ23" s="58">
        <v>7648267672.7576208</v>
      </c>
      <c r="AK23" s="58">
        <v>10776290008.545919</v>
      </c>
      <c r="AL23" s="58">
        <v>11735407034.999998</v>
      </c>
    </row>
    <row r="24" spans="1:60" s="15" customFormat="1" ht="18" customHeight="1" x14ac:dyDescent="0.3">
      <c r="A24" s="11" t="s">
        <v>80</v>
      </c>
      <c r="B24" s="132" t="s">
        <v>116</v>
      </c>
      <c r="C24" s="132" t="s">
        <v>116</v>
      </c>
      <c r="D24" s="132" t="s">
        <v>116</v>
      </c>
      <c r="E24" s="132" t="s">
        <v>116</v>
      </c>
      <c r="F24" s="132" t="s">
        <v>116</v>
      </c>
      <c r="G24" s="132" t="s">
        <v>116</v>
      </c>
      <c r="H24" s="132" t="s">
        <v>116</v>
      </c>
      <c r="I24" s="132" t="s">
        <v>116</v>
      </c>
      <c r="J24" s="132" t="s">
        <v>116</v>
      </c>
      <c r="K24" s="132" t="s">
        <v>116</v>
      </c>
      <c r="L24" s="132" t="s">
        <v>116</v>
      </c>
      <c r="M24" s="132" t="s">
        <v>116</v>
      </c>
      <c r="N24" s="132" t="s">
        <v>116</v>
      </c>
      <c r="O24" s="132" t="s">
        <v>116</v>
      </c>
      <c r="P24" s="132" t="s">
        <v>116</v>
      </c>
      <c r="Q24" s="132" t="s">
        <v>116</v>
      </c>
      <c r="R24" s="132" t="s">
        <v>116</v>
      </c>
      <c r="S24" s="132" t="s">
        <v>116</v>
      </c>
      <c r="T24" s="132" t="s">
        <v>116</v>
      </c>
      <c r="U24" s="132" t="s">
        <v>116</v>
      </c>
      <c r="V24" s="132" t="s">
        <v>116</v>
      </c>
      <c r="W24" s="132" t="s">
        <v>116</v>
      </c>
      <c r="X24" s="12">
        <v>2436234762.7025466</v>
      </c>
      <c r="Y24" s="12">
        <v>2758284559.4675927</v>
      </c>
      <c r="Z24" s="12">
        <v>3182991664.7222223</v>
      </c>
      <c r="AA24" s="12">
        <v>3742482424.7569442</v>
      </c>
      <c r="AB24" s="12">
        <v>3477880634.4898725</v>
      </c>
      <c r="AC24" s="57">
        <v>4277024568.885994</v>
      </c>
      <c r="AD24" s="57">
        <v>3389483478.8541665</v>
      </c>
      <c r="AE24" s="133" t="s">
        <v>116</v>
      </c>
      <c r="AF24" s="133" t="s">
        <v>116</v>
      </c>
      <c r="AG24" s="133" t="s">
        <v>116</v>
      </c>
      <c r="AH24" s="133" t="s">
        <v>116</v>
      </c>
      <c r="AI24" s="133" t="s">
        <v>116</v>
      </c>
      <c r="AJ24" s="133" t="s">
        <v>116</v>
      </c>
      <c r="AK24" s="133" t="s">
        <v>116</v>
      </c>
      <c r="AL24" s="133" t="s">
        <v>116</v>
      </c>
    </row>
    <row r="25" spans="1:60" s="10" customFormat="1" ht="18" customHeight="1" thickBot="1" x14ac:dyDescent="0.35">
      <c r="A25" s="39" t="s">
        <v>24</v>
      </c>
      <c r="B25" s="59">
        <v>20003.977528092888</v>
      </c>
      <c r="C25" s="59">
        <v>501496.50269906386</v>
      </c>
      <c r="D25" s="59">
        <v>2567282.3341132537</v>
      </c>
      <c r="E25" s="59">
        <v>30237211.392060481</v>
      </c>
      <c r="F25" s="59">
        <v>643421398.82351613</v>
      </c>
      <c r="G25" s="59">
        <v>16989638087.887781</v>
      </c>
      <c r="H25" s="59">
        <v>26506670622.808056</v>
      </c>
      <c r="I25" s="59">
        <v>27098747901.11916</v>
      </c>
      <c r="J25" s="59">
        <v>35360524315.035332</v>
      </c>
      <c r="K25" s="59">
        <v>38242981935.683151</v>
      </c>
      <c r="L25" s="59">
        <v>42556294262.837082</v>
      </c>
      <c r="M25" s="59">
        <v>44706094265.480171</v>
      </c>
      <c r="N25" s="59">
        <v>54805521727.726196</v>
      </c>
      <c r="O25" s="59">
        <v>74308056104.724716</v>
      </c>
      <c r="P25" s="59">
        <v>103566211602.64645</v>
      </c>
      <c r="Q25" s="59">
        <v>112473809108.14578</v>
      </c>
      <c r="R25" s="59">
        <v>100764207161.07132</v>
      </c>
      <c r="S25" s="59">
        <v>103128647135.80016</v>
      </c>
      <c r="T25" s="59">
        <v>122383416007.9454</v>
      </c>
      <c r="U25" s="59">
        <v>156309996372.00433</v>
      </c>
      <c r="V25" s="59">
        <v>151133513786.5531</v>
      </c>
      <c r="W25" s="59">
        <v>165484539209.41824</v>
      </c>
      <c r="X25" s="59">
        <v>208567857521.61877</v>
      </c>
      <c r="Y25" s="59">
        <v>233056209408.33224</v>
      </c>
      <c r="Z25" s="59">
        <v>268988639107.37967</v>
      </c>
      <c r="AA25" s="59">
        <v>287055688698.35046</v>
      </c>
      <c r="AB25" s="59">
        <v>307978959401.55859</v>
      </c>
      <c r="AC25" s="60">
        <v>343654585170.26624</v>
      </c>
      <c r="AD25" s="60">
        <v>348404585999.94434</v>
      </c>
      <c r="AE25" s="60">
        <v>356106468991.68298</v>
      </c>
      <c r="AF25" s="60">
        <v>372208566423.16528</v>
      </c>
      <c r="AG25" s="60">
        <v>512924874673.34137</v>
      </c>
      <c r="AH25" s="60">
        <v>738809281272.87219</v>
      </c>
      <c r="AI25" s="60">
        <v>819367014500.15723</v>
      </c>
      <c r="AJ25" s="60">
        <v>820938077269.10498</v>
      </c>
      <c r="AK25" s="60">
        <v>808677469018.63379</v>
      </c>
      <c r="AL25" s="60">
        <v>941836169498.2052</v>
      </c>
    </row>
    <row r="26" spans="1:60" s="15" customFormat="1" ht="18" customHeight="1" thickTop="1" x14ac:dyDescent="0.3">
      <c r="A26" s="11" t="s">
        <v>25</v>
      </c>
      <c r="B26" s="132" t="s">
        <v>116</v>
      </c>
      <c r="C26" s="132" t="s">
        <v>116</v>
      </c>
      <c r="D26" s="132" t="s">
        <v>116</v>
      </c>
      <c r="E26" s="132" t="s">
        <v>116</v>
      </c>
      <c r="F26" s="132" t="s">
        <v>116</v>
      </c>
      <c r="G26" s="132" t="s">
        <v>116</v>
      </c>
      <c r="H26" s="132" t="s">
        <v>116</v>
      </c>
      <c r="I26" s="132" t="s">
        <v>116</v>
      </c>
      <c r="J26" s="132" t="s">
        <v>116</v>
      </c>
      <c r="K26" s="132" t="s">
        <v>116</v>
      </c>
      <c r="L26" s="132" t="s">
        <v>116</v>
      </c>
      <c r="M26" s="12">
        <v>9528077066.9223347</v>
      </c>
      <c r="N26" s="12">
        <v>11623668190.979557</v>
      </c>
      <c r="O26" s="12">
        <v>14000669169.183111</v>
      </c>
      <c r="P26" s="12">
        <v>17351671144.046219</v>
      </c>
      <c r="Q26" s="12">
        <v>21358176099.713997</v>
      </c>
      <c r="R26" s="12">
        <v>21972723842.379448</v>
      </c>
      <c r="S26" s="12">
        <v>23206637350.546661</v>
      </c>
      <c r="T26" s="12">
        <v>26501870249.194</v>
      </c>
      <c r="U26" s="12">
        <v>32547734017.182217</v>
      </c>
      <c r="V26" s="12">
        <v>32785225313.364002</v>
      </c>
      <c r="W26" s="12">
        <v>36493406158.701332</v>
      </c>
      <c r="X26" s="12">
        <v>41866859441.221001</v>
      </c>
      <c r="Y26" s="12">
        <v>45031085620.975052</v>
      </c>
      <c r="Z26" s="12">
        <v>51765663445.425827</v>
      </c>
      <c r="AA26" s="12">
        <v>62657528240.711433</v>
      </c>
      <c r="AB26" s="12">
        <v>69286801122.607681</v>
      </c>
      <c r="AC26" s="57">
        <v>71464769584.992508</v>
      </c>
      <c r="AD26" s="57">
        <v>70805693671.43248</v>
      </c>
      <c r="AE26" s="57">
        <v>75424574100.887955</v>
      </c>
      <c r="AF26" s="57">
        <v>85646670013.813812</v>
      </c>
      <c r="AG26" s="57">
        <v>111058727376.14902</v>
      </c>
      <c r="AH26" s="57">
        <v>144163517069.3277</v>
      </c>
      <c r="AI26" s="57">
        <v>155137778061.66055</v>
      </c>
      <c r="AJ26" s="57">
        <v>142735738379.12747</v>
      </c>
      <c r="AK26" s="57">
        <v>161465525488.64679</v>
      </c>
      <c r="AL26" s="57">
        <v>205441228320.43851</v>
      </c>
    </row>
    <row r="27" spans="1:60" s="15" customFormat="1" ht="18" customHeight="1" x14ac:dyDescent="0.3">
      <c r="A27" s="16" t="s">
        <v>26</v>
      </c>
      <c r="B27" s="135" t="s">
        <v>116</v>
      </c>
      <c r="C27" s="135" t="s">
        <v>116</v>
      </c>
      <c r="D27" s="135" t="s">
        <v>116</v>
      </c>
      <c r="E27" s="135" t="s">
        <v>116</v>
      </c>
      <c r="F27" s="135" t="s">
        <v>116</v>
      </c>
      <c r="G27" s="135" t="s">
        <v>116</v>
      </c>
      <c r="H27" s="135" t="s">
        <v>116</v>
      </c>
      <c r="I27" s="135" t="s">
        <v>116</v>
      </c>
      <c r="J27" s="135" t="s">
        <v>116</v>
      </c>
      <c r="K27" s="135" t="s">
        <v>116</v>
      </c>
      <c r="L27" s="135" t="s">
        <v>116</v>
      </c>
      <c r="M27" s="17">
        <v>1725204033.1594996</v>
      </c>
      <c r="N27" s="17">
        <v>2284215775.0169444</v>
      </c>
      <c r="O27" s="17">
        <v>2657295186.1386671</v>
      </c>
      <c r="P27" s="17">
        <v>3487387766.6083336</v>
      </c>
      <c r="Q27" s="17">
        <v>4289558230.16539</v>
      </c>
      <c r="R27" s="17">
        <v>5270049800.4855566</v>
      </c>
      <c r="S27" s="17">
        <v>4715737071.9379997</v>
      </c>
      <c r="T27" s="17">
        <v>5298829008.4466658</v>
      </c>
      <c r="U27" s="17">
        <v>6979076771.2855549</v>
      </c>
      <c r="V27" s="17">
        <v>7181158444.8793316</v>
      </c>
      <c r="W27" s="17">
        <v>8340620933.5543871</v>
      </c>
      <c r="X27" s="17">
        <v>9065576926.9771671</v>
      </c>
      <c r="Y27" s="17">
        <v>9020990194.3607216</v>
      </c>
      <c r="Z27" s="17">
        <v>11080205984.706665</v>
      </c>
      <c r="AA27" s="17">
        <v>12261693232.152777</v>
      </c>
      <c r="AB27" s="17">
        <v>14008258657.918833</v>
      </c>
      <c r="AC27" s="58">
        <v>14244958363.264997</v>
      </c>
      <c r="AD27" s="58">
        <v>21439690781.512444</v>
      </c>
      <c r="AE27" s="58">
        <v>18050485498.68634</v>
      </c>
      <c r="AF27" s="58">
        <v>23696670450.911461</v>
      </c>
      <c r="AG27" s="58">
        <v>36014600708.029518</v>
      </c>
      <c r="AH27" s="58">
        <v>42590962426.971062</v>
      </c>
      <c r="AI27" s="58">
        <v>40983197713.475105</v>
      </c>
      <c r="AJ27" s="58">
        <v>45188061658.707756</v>
      </c>
      <c r="AK27" s="58">
        <v>53611752799.966614</v>
      </c>
      <c r="AL27" s="58">
        <v>66178252488.476799</v>
      </c>
    </row>
    <row r="28" spans="1:60" s="15" customFormat="1" ht="18" customHeight="1" x14ac:dyDescent="0.3">
      <c r="A28" s="11" t="s">
        <v>27</v>
      </c>
      <c r="B28" s="132" t="s">
        <v>116</v>
      </c>
      <c r="C28" s="132" t="s">
        <v>116</v>
      </c>
      <c r="D28" s="132" t="s">
        <v>116</v>
      </c>
      <c r="E28" s="132" t="s">
        <v>116</v>
      </c>
      <c r="F28" s="132" t="s">
        <v>116</v>
      </c>
      <c r="G28" s="132" t="s">
        <v>116</v>
      </c>
      <c r="H28" s="132" t="s">
        <v>116</v>
      </c>
      <c r="I28" s="132" t="s">
        <v>116</v>
      </c>
      <c r="J28" s="132" t="s">
        <v>116</v>
      </c>
      <c r="K28" s="132" t="s">
        <v>116</v>
      </c>
      <c r="L28" s="132" t="s">
        <v>116</v>
      </c>
      <c r="M28" s="12">
        <v>4759346722.4483328</v>
      </c>
      <c r="N28" s="12">
        <v>5481555809.9825001</v>
      </c>
      <c r="O28" s="12">
        <v>7065369072.8816652</v>
      </c>
      <c r="P28" s="12">
        <v>9876976107.913332</v>
      </c>
      <c r="Q28" s="12">
        <v>11481154842.577499</v>
      </c>
      <c r="R28" s="12">
        <v>14399421395.731644</v>
      </c>
      <c r="S28" s="12">
        <v>13400802792.057365</v>
      </c>
      <c r="T28" s="12">
        <v>18959367057.852406</v>
      </c>
      <c r="U28" s="12">
        <v>23760591350.419182</v>
      </c>
      <c r="V28" s="12">
        <v>23119475801.997326</v>
      </c>
      <c r="W28" s="12">
        <v>23970242135.474751</v>
      </c>
      <c r="X28" s="12">
        <v>27980282301.193974</v>
      </c>
      <c r="Y28" s="12">
        <v>29861935149.724442</v>
      </c>
      <c r="Z28" s="12">
        <v>35144574437.983437</v>
      </c>
      <c r="AA28" s="12">
        <v>35891839193.006233</v>
      </c>
      <c r="AB28" s="12">
        <v>40841853703.708511</v>
      </c>
      <c r="AC28" s="57">
        <v>45931797457.867332</v>
      </c>
      <c r="AD28" s="57">
        <v>42179963954.24366</v>
      </c>
      <c r="AE28" s="57">
        <v>44372258720.334412</v>
      </c>
      <c r="AF28" s="57">
        <v>54836559049.065247</v>
      </c>
      <c r="AG28" s="57">
        <v>61144668023.244591</v>
      </c>
      <c r="AH28" s="57">
        <v>90839904344.869324</v>
      </c>
      <c r="AI28" s="57">
        <v>97642792453.920578</v>
      </c>
      <c r="AJ28" s="57">
        <v>90925578430.754822</v>
      </c>
      <c r="AK28" s="57">
        <v>101164174097.76164</v>
      </c>
      <c r="AL28" s="57">
        <v>110985393706.72</v>
      </c>
    </row>
    <row r="29" spans="1:60" s="15" customFormat="1" ht="18" customHeight="1" x14ac:dyDescent="0.3">
      <c r="A29" s="16" t="s">
        <v>28</v>
      </c>
      <c r="B29" s="135" t="s">
        <v>116</v>
      </c>
      <c r="C29" s="135" t="s">
        <v>116</v>
      </c>
      <c r="D29" s="135" t="s">
        <v>116</v>
      </c>
      <c r="E29" s="135" t="s">
        <v>116</v>
      </c>
      <c r="F29" s="135" t="s">
        <v>116</v>
      </c>
      <c r="G29" s="135" t="s">
        <v>116</v>
      </c>
      <c r="H29" s="135" t="s">
        <v>116</v>
      </c>
      <c r="I29" s="135" t="s">
        <v>116</v>
      </c>
      <c r="J29" s="135" t="s">
        <v>116</v>
      </c>
      <c r="K29" s="135" t="s">
        <v>116</v>
      </c>
      <c r="L29" s="135" t="s">
        <v>116</v>
      </c>
      <c r="M29" s="17">
        <v>3763489494.166666</v>
      </c>
      <c r="N29" s="17">
        <v>3996764612.5</v>
      </c>
      <c r="O29" s="17">
        <v>4593577827.5</v>
      </c>
      <c r="P29" s="17">
        <v>6211734735</v>
      </c>
      <c r="Q29" s="17">
        <v>6945590791.666667</v>
      </c>
      <c r="R29" s="17">
        <v>8277836233.3333349</v>
      </c>
      <c r="S29" s="17">
        <v>8043150997.5</v>
      </c>
      <c r="T29" s="17">
        <v>10390320723.333336</v>
      </c>
      <c r="U29" s="17">
        <v>13001356077.500002</v>
      </c>
      <c r="V29" s="17">
        <v>13492472525.000002</v>
      </c>
      <c r="W29" s="17">
        <v>15731627249.999998</v>
      </c>
      <c r="X29" s="17">
        <v>17599462500.000004</v>
      </c>
      <c r="Y29" s="17">
        <v>19490195542.5</v>
      </c>
      <c r="Z29" s="17">
        <v>23925749808.333336</v>
      </c>
      <c r="AA29" s="17">
        <v>27221741799.999996</v>
      </c>
      <c r="AB29" s="17">
        <v>26268019566.666664</v>
      </c>
      <c r="AC29" s="58">
        <v>26857490595.000004</v>
      </c>
      <c r="AD29" s="58">
        <v>30212954054.297245</v>
      </c>
      <c r="AE29" s="58">
        <v>31494406570.246922</v>
      </c>
      <c r="AF29" s="58">
        <v>33089272743.856842</v>
      </c>
      <c r="AG29" s="58">
        <v>38458690886.084526</v>
      </c>
      <c r="AH29" s="58">
        <v>49010373377.666664</v>
      </c>
      <c r="AI29" s="58">
        <v>59011509581.322403</v>
      </c>
      <c r="AJ29" s="58">
        <v>63950404217.473885</v>
      </c>
      <c r="AK29" s="58">
        <v>64727495386.666664</v>
      </c>
      <c r="AL29" s="58">
        <v>69720952469.999985</v>
      </c>
    </row>
    <row r="30" spans="1:60" s="15" customFormat="1" ht="18" customHeight="1" x14ac:dyDescent="0.3">
      <c r="A30" s="11" t="s">
        <v>29</v>
      </c>
      <c r="B30" s="132" t="s">
        <v>116</v>
      </c>
      <c r="C30" s="132" t="s">
        <v>116</v>
      </c>
      <c r="D30" s="132" t="s">
        <v>116</v>
      </c>
      <c r="E30" s="132" t="s">
        <v>116</v>
      </c>
      <c r="F30" s="132" t="s">
        <v>116</v>
      </c>
      <c r="G30" s="132" t="s">
        <v>116</v>
      </c>
      <c r="H30" s="132" t="s">
        <v>116</v>
      </c>
      <c r="I30" s="132" t="s">
        <v>116</v>
      </c>
      <c r="J30" s="132" t="s">
        <v>116</v>
      </c>
      <c r="K30" s="132" t="s">
        <v>116</v>
      </c>
      <c r="L30" s="132" t="s">
        <v>116</v>
      </c>
      <c r="M30" s="12">
        <v>1471501004.9999998</v>
      </c>
      <c r="N30" s="12">
        <v>1600283066.6666665</v>
      </c>
      <c r="O30" s="12">
        <v>1871390483.3333333</v>
      </c>
      <c r="P30" s="12">
        <v>2779727110.8333335</v>
      </c>
      <c r="Q30" s="12">
        <v>3082163023.3333335</v>
      </c>
      <c r="R30" s="12">
        <v>3288231799.9999995</v>
      </c>
      <c r="S30" s="12">
        <v>3177370079.166666</v>
      </c>
      <c r="T30" s="12">
        <v>3548475996.6666675</v>
      </c>
      <c r="U30" s="12">
        <v>4260736035</v>
      </c>
      <c r="V30" s="12">
        <v>4326396895.000001</v>
      </c>
      <c r="W30" s="12">
        <v>4442610870</v>
      </c>
      <c r="X30" s="12">
        <v>5681006933.3333349</v>
      </c>
      <c r="Y30" s="12">
        <v>7057652041.666666</v>
      </c>
      <c r="Z30" s="12">
        <v>8805561600</v>
      </c>
      <c r="AA30" s="12">
        <v>10423788750.000002</v>
      </c>
      <c r="AB30" s="12">
        <v>11345657151.666666</v>
      </c>
      <c r="AC30" s="57">
        <v>13478163779.166666</v>
      </c>
      <c r="AD30" s="57">
        <v>11214053174.982409</v>
      </c>
      <c r="AE30" s="57">
        <v>10794020785.836996</v>
      </c>
      <c r="AF30" s="57">
        <v>11591209740.214287</v>
      </c>
      <c r="AG30" s="57">
        <v>14390145831.489315</v>
      </c>
      <c r="AH30" s="57">
        <v>17165928383.333332</v>
      </c>
      <c r="AI30" s="57">
        <v>21004528389.907738</v>
      </c>
      <c r="AJ30" s="57">
        <v>24942800872.611107</v>
      </c>
      <c r="AK30" s="57">
        <v>24985507934.422123</v>
      </c>
      <c r="AL30" s="57">
        <v>24815940837.85714</v>
      </c>
    </row>
    <row r="31" spans="1:60" s="10" customFormat="1" ht="18" customHeight="1" thickBot="1" x14ac:dyDescent="0.35">
      <c r="A31" s="39" t="s">
        <v>30</v>
      </c>
      <c r="B31" s="136" t="s">
        <v>116</v>
      </c>
      <c r="C31" s="136" t="s">
        <v>116</v>
      </c>
      <c r="D31" s="136" t="s">
        <v>116</v>
      </c>
      <c r="E31" s="136" t="s">
        <v>116</v>
      </c>
      <c r="F31" s="136" t="s">
        <v>116</v>
      </c>
      <c r="G31" s="136" t="s">
        <v>116</v>
      </c>
      <c r="H31" s="136" t="s">
        <v>116</v>
      </c>
      <c r="I31" s="136" t="s">
        <v>116</v>
      </c>
      <c r="J31" s="136" t="s">
        <v>116</v>
      </c>
      <c r="K31" s="136" t="s">
        <v>116</v>
      </c>
      <c r="L31" s="136" t="s">
        <v>116</v>
      </c>
      <c r="M31" s="59">
        <v>21247618321.696831</v>
      </c>
      <c r="N31" s="59">
        <v>24986487455.145672</v>
      </c>
      <c r="O31" s="59">
        <v>30188301739.036774</v>
      </c>
      <c r="P31" s="59">
        <v>39707496864.401222</v>
      </c>
      <c r="Q31" s="59">
        <v>47156642987.456886</v>
      </c>
      <c r="R31" s="59">
        <v>53208263071.929985</v>
      </c>
      <c r="S31" s="59">
        <v>52543698291.208687</v>
      </c>
      <c r="T31" s="59">
        <v>64698863035.493073</v>
      </c>
      <c r="U31" s="59">
        <v>80549494251.386963</v>
      </c>
      <c r="V31" s="59">
        <v>80904728980.240662</v>
      </c>
      <c r="W31" s="59">
        <v>88978507347.730469</v>
      </c>
      <c r="X31" s="59">
        <v>102193188102.72546</v>
      </c>
      <c r="Y31" s="59">
        <v>110461858549.22688</v>
      </c>
      <c r="Z31" s="59">
        <v>130721755276.44928</v>
      </c>
      <c r="AA31" s="59">
        <v>148456591215.87045</v>
      </c>
      <c r="AB31" s="59">
        <v>161750590202.56836</v>
      </c>
      <c r="AC31" s="60">
        <v>171977179780.2915</v>
      </c>
      <c r="AD31" s="60">
        <v>175852355636.46823</v>
      </c>
      <c r="AE31" s="60">
        <v>180135745675.99261</v>
      </c>
      <c r="AF31" s="60">
        <v>208860381997.86166</v>
      </c>
      <c r="AG31" s="60">
        <v>261066832824.99698</v>
      </c>
      <c r="AH31" s="60">
        <v>343770685602.16809</v>
      </c>
      <c r="AI31" s="60">
        <v>373779806200.28632</v>
      </c>
      <c r="AJ31" s="60">
        <v>367742583558.67505</v>
      </c>
      <c r="AK31" s="60">
        <v>405954455707.46387</v>
      </c>
      <c r="AL31" s="60">
        <v>477141767823.49243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s="10" customFormat="1" ht="18" customHeight="1" thickTop="1" thickBot="1" x14ac:dyDescent="0.35">
      <c r="A32" s="42" t="s">
        <v>31</v>
      </c>
      <c r="B32" s="61">
        <v>20003.977528092888</v>
      </c>
      <c r="C32" s="61">
        <v>501496.50269906386</v>
      </c>
      <c r="D32" s="61">
        <v>2567282.3341132537</v>
      </c>
      <c r="E32" s="61">
        <v>30237211.392060481</v>
      </c>
      <c r="F32" s="61">
        <v>643421398.82351613</v>
      </c>
      <c r="G32" s="61">
        <v>16989638087.887781</v>
      </c>
      <c r="H32" s="61">
        <v>26506670622.808056</v>
      </c>
      <c r="I32" s="61">
        <v>27098747901.11916</v>
      </c>
      <c r="J32" s="61">
        <v>35360524315.035332</v>
      </c>
      <c r="K32" s="61">
        <v>38242981935.683151</v>
      </c>
      <c r="L32" s="61">
        <v>42556294262.837082</v>
      </c>
      <c r="M32" s="61">
        <v>65953712587.177002</v>
      </c>
      <c r="N32" s="61">
        <v>79792009182.871872</v>
      </c>
      <c r="O32" s="61">
        <v>104496357843.76149</v>
      </c>
      <c r="P32" s="61">
        <v>143273708467.04767</v>
      </c>
      <c r="Q32" s="61">
        <v>159630452095.60266</v>
      </c>
      <c r="R32" s="61">
        <v>153972470233.00131</v>
      </c>
      <c r="S32" s="61">
        <v>155672345427.00885</v>
      </c>
      <c r="T32" s="61">
        <v>187082279043.43848</v>
      </c>
      <c r="U32" s="61">
        <v>236859490623.3913</v>
      </c>
      <c r="V32" s="61">
        <v>232038242766.79376</v>
      </c>
      <c r="W32" s="61">
        <v>254463046557.14871</v>
      </c>
      <c r="X32" s="61">
        <v>310761045624.34424</v>
      </c>
      <c r="Y32" s="61">
        <v>343518067957.55914</v>
      </c>
      <c r="Z32" s="61">
        <v>399710394383.82898</v>
      </c>
      <c r="AA32" s="61">
        <v>435512279914.22095</v>
      </c>
      <c r="AB32" s="61">
        <v>469729549604.12695</v>
      </c>
      <c r="AC32" s="62">
        <v>515631764950.55774</v>
      </c>
      <c r="AD32" s="62">
        <v>524256941636.4126</v>
      </c>
      <c r="AE32" s="62">
        <v>536242214667.6756</v>
      </c>
      <c r="AF32" s="62">
        <v>581068948421.02698</v>
      </c>
      <c r="AG32" s="62">
        <v>773991707498.33838</v>
      </c>
      <c r="AH32" s="62">
        <v>1082579966875.0403</v>
      </c>
      <c r="AI32" s="62">
        <v>1193146820700.4436</v>
      </c>
      <c r="AJ32" s="62">
        <v>1188680660827.78</v>
      </c>
      <c r="AK32" s="62">
        <v>1214631924726.0977</v>
      </c>
      <c r="AL32" s="62">
        <v>1418977937321.6978</v>
      </c>
      <c r="AM32" s="15"/>
    </row>
    <row r="33" spans="1:38" s="2" customFormat="1" ht="15" customHeight="1" thickTop="1" x14ac:dyDescent="0.25">
      <c r="A33" s="126" t="s">
        <v>128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</row>
    <row r="34" spans="1:38" s="2" customFormat="1" ht="14.25" customHeight="1" x14ac:dyDescent="0.25">
      <c r="A34" s="30" t="s">
        <v>129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s="2" customFormat="1" ht="14.25" customHeight="1" x14ac:dyDescent="0.25">
      <c r="A35" s="30" t="s">
        <v>121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</row>
    <row r="36" spans="1:38" s="2" customFormat="1" ht="14.25" customHeight="1" x14ac:dyDescent="0.25">
      <c r="A36" s="152" t="s">
        <v>32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</row>
    <row r="37" spans="1:38" s="2" customFormat="1" ht="14.25" customHeight="1" x14ac:dyDescent="0.25">
      <c r="A37" s="142" t="s">
        <v>33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8" s="2" customFormat="1" ht="14.25" x14ac:dyDescent="0.25">
      <c r="A38" s="143" t="s">
        <v>34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</row>
    <row r="39" spans="1:38" s="2" customFormat="1" ht="14.25" x14ac:dyDescent="0.25">
      <c r="A39" s="30" t="s">
        <v>95</v>
      </c>
      <c r="B39" s="30"/>
      <c r="C39" s="30"/>
      <c r="D39" s="30"/>
      <c r="E39" s="30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</row>
    <row r="40" spans="1:38" s="30" customFormat="1" ht="14.25" x14ac:dyDescent="0.25">
      <c r="A40" s="30" t="s">
        <v>131</v>
      </c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s="2" customFormat="1" ht="14.25" x14ac:dyDescent="0.25">
      <c r="A41" s="30" t="s">
        <v>135</v>
      </c>
      <c r="B41" s="131"/>
      <c r="C41" s="30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</row>
    <row r="42" spans="1:38" s="2" customFormat="1" ht="14.25" x14ac:dyDescent="0.25">
      <c r="A42" s="131" t="s">
        <v>35</v>
      </c>
      <c r="B42" s="131"/>
      <c r="C42" s="30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</row>
    <row r="43" spans="1:38" s="2" customFormat="1" ht="14.25" x14ac:dyDescent="0.25">
      <c r="A43" s="131" t="s">
        <v>36</v>
      </c>
      <c r="B43" s="131"/>
      <c r="C43" s="30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</row>
    <row r="44" spans="1:38" s="2" customFormat="1" ht="14.25" x14ac:dyDescent="0.25">
      <c r="A44" s="131" t="s">
        <v>123</v>
      </c>
      <c r="B44" s="131"/>
      <c r="C44" s="30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</row>
    <row r="45" spans="1:38" ht="17.25" customHeight="1" x14ac:dyDescent="0.3">
      <c r="A45" s="30" t="s">
        <v>37</v>
      </c>
      <c r="B45" s="30"/>
    </row>
  </sheetData>
  <mergeCells count="3">
    <mergeCell ref="A36:AJ36"/>
    <mergeCell ref="A37:AJ37"/>
    <mergeCell ref="A38:U38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zoomScale="90" zoomScaleNormal="90" workbookViewId="0">
      <selection activeCell="G31" sqref="G31"/>
    </sheetView>
  </sheetViews>
  <sheetFormatPr defaultColWidth="8.85546875" defaultRowHeight="18.600000000000001" customHeight="1" x14ac:dyDescent="0.3"/>
  <cols>
    <col min="1" max="1" width="11.140625" style="45" customWidth="1"/>
    <col min="2" max="2" width="21.140625" style="3" customWidth="1"/>
    <col min="3" max="3" width="20.5703125" style="3" bestFit="1" customWidth="1"/>
    <col min="4" max="4" width="9" style="3" bestFit="1" customWidth="1"/>
    <col min="5" max="5" width="8.85546875" style="3"/>
    <col min="6" max="6" width="11.140625" style="3" bestFit="1" customWidth="1"/>
    <col min="7" max="7" width="19.28515625" style="3" customWidth="1"/>
    <col min="8" max="8" width="18.28515625" style="3" bestFit="1" customWidth="1"/>
    <col min="9" max="16384" width="8.85546875" style="3"/>
  </cols>
  <sheetData>
    <row r="1" spans="1:8" ht="17.45" customHeight="1" x14ac:dyDescent="0.3">
      <c r="A1" s="150" t="s">
        <v>96</v>
      </c>
      <c r="B1" s="150"/>
      <c r="C1" s="150"/>
      <c r="D1" s="150"/>
    </row>
    <row r="2" spans="1:8" ht="18.600000000000001" customHeight="1" x14ac:dyDescent="0.3">
      <c r="B2" s="151" t="s">
        <v>2</v>
      </c>
      <c r="C2" s="151"/>
    </row>
    <row r="3" spans="1:8" ht="18.600000000000001" customHeight="1" thickBot="1" x14ac:dyDescent="0.35">
      <c r="A3" s="46" t="s">
        <v>97</v>
      </c>
      <c r="B3" s="46" t="s">
        <v>3</v>
      </c>
      <c r="C3" s="47">
        <v>2024</v>
      </c>
      <c r="D3" s="47" t="s">
        <v>98</v>
      </c>
      <c r="F3" s="46" t="s">
        <v>97</v>
      </c>
      <c r="G3" s="46" t="s">
        <v>3</v>
      </c>
      <c r="H3" s="47">
        <v>2024</v>
      </c>
    </row>
    <row r="4" spans="1:8" ht="18.600000000000001" customHeight="1" thickTop="1" x14ac:dyDescent="0.3">
      <c r="A4" s="48" t="s">
        <v>99</v>
      </c>
      <c r="B4" s="11" t="s">
        <v>20</v>
      </c>
      <c r="C4" s="12">
        <v>300878556962.20221</v>
      </c>
      <c r="D4" s="49">
        <v>0.23647443613120489</v>
      </c>
      <c r="F4" s="48" t="s">
        <v>99</v>
      </c>
      <c r="G4" s="11" t="s">
        <v>20</v>
      </c>
      <c r="H4" s="12">
        <v>300878556962.20221</v>
      </c>
    </row>
    <row r="5" spans="1:8" ht="18.600000000000001" customHeight="1" x14ac:dyDescent="0.3">
      <c r="A5" s="50" t="s">
        <v>100</v>
      </c>
      <c r="B5" s="16" t="s">
        <v>19</v>
      </c>
      <c r="C5" s="17">
        <v>125814201392.88287</v>
      </c>
      <c r="D5" s="51">
        <v>9.8883225950254075E-2</v>
      </c>
      <c r="F5" s="50" t="s">
        <v>100</v>
      </c>
      <c r="G5" s="16" t="s">
        <v>19</v>
      </c>
      <c r="H5" s="17">
        <v>125814201392.88287</v>
      </c>
    </row>
    <row r="6" spans="1:8" ht="18.600000000000001" customHeight="1" x14ac:dyDescent="0.3">
      <c r="A6" s="48" t="s">
        <v>101</v>
      </c>
      <c r="B6" s="11" t="s">
        <v>14</v>
      </c>
      <c r="C6" s="12">
        <v>121457455987.74849</v>
      </c>
      <c r="D6" s="49">
        <v>9.545905733070105E-2</v>
      </c>
      <c r="F6" s="48" t="s">
        <v>101</v>
      </c>
      <c r="G6" s="11" t="s">
        <v>14</v>
      </c>
      <c r="H6" s="12">
        <v>121457455987.74849</v>
      </c>
    </row>
    <row r="7" spans="1:8" ht="18.600000000000001" customHeight="1" x14ac:dyDescent="0.3">
      <c r="A7" s="50" t="s">
        <v>102</v>
      </c>
      <c r="B7" s="16" t="s">
        <v>13</v>
      </c>
      <c r="C7" s="17">
        <v>79590923211.912628</v>
      </c>
      <c r="D7" s="51">
        <v>6.2554204186985235E-2</v>
      </c>
      <c r="F7" s="50" t="s">
        <v>102</v>
      </c>
      <c r="G7" s="16" t="s">
        <v>13</v>
      </c>
      <c r="H7" s="17">
        <v>79590923211.912628</v>
      </c>
    </row>
    <row r="8" spans="1:8" ht="18.600000000000001" customHeight="1" x14ac:dyDescent="0.3">
      <c r="A8" s="48" t="s">
        <v>103</v>
      </c>
      <c r="B8" s="11" t="s">
        <v>7</v>
      </c>
      <c r="C8" s="12">
        <v>34355274817.067638</v>
      </c>
      <c r="D8" s="49">
        <v>2.7001406555932288E-2</v>
      </c>
      <c r="F8" s="48" t="s">
        <v>103</v>
      </c>
      <c r="G8" s="11" t="s">
        <v>7</v>
      </c>
      <c r="H8" s="12">
        <v>34355274817.067638</v>
      </c>
    </row>
    <row r="9" spans="1:8" ht="18.600000000000001" customHeight="1" thickBot="1" x14ac:dyDescent="0.35">
      <c r="A9" s="50" t="s">
        <v>104</v>
      </c>
      <c r="B9" s="16" t="s">
        <v>16</v>
      </c>
      <c r="C9" s="17">
        <v>28568739968.505909</v>
      </c>
      <c r="D9" s="51">
        <v>2.2453499987638348E-2</v>
      </c>
      <c r="F9" s="46" t="s">
        <v>97</v>
      </c>
      <c r="G9" s="46" t="s">
        <v>81</v>
      </c>
      <c r="H9" s="47">
        <v>2024</v>
      </c>
    </row>
    <row r="10" spans="1:8" ht="18.600000000000001" customHeight="1" thickTop="1" x14ac:dyDescent="0.3">
      <c r="A10" s="48" t="s">
        <v>105</v>
      </c>
      <c r="B10" s="11" t="s">
        <v>9</v>
      </c>
      <c r="C10" s="12">
        <v>25150918030.69157</v>
      </c>
      <c r="D10" s="49">
        <v>1.9767274941554253E-2</v>
      </c>
      <c r="F10" s="48" t="s">
        <v>99</v>
      </c>
      <c r="G10" s="11" t="s">
        <v>25</v>
      </c>
      <c r="H10" s="12">
        <v>169138376474.0889</v>
      </c>
    </row>
    <row r="11" spans="1:8" ht="18.600000000000001" customHeight="1" x14ac:dyDescent="0.3">
      <c r="A11" s="50" t="s">
        <v>106</v>
      </c>
      <c r="B11" s="16" t="s">
        <v>10</v>
      </c>
      <c r="C11" s="17">
        <v>22367460056.43539</v>
      </c>
      <c r="D11" s="51">
        <v>1.7579626005708605E-2</v>
      </c>
      <c r="F11" s="50" t="s">
        <v>100</v>
      </c>
      <c r="G11" s="16" t="s">
        <v>27</v>
      </c>
      <c r="H11" s="17">
        <v>105971501423.94078</v>
      </c>
    </row>
    <row r="12" spans="1:8" ht="18.600000000000001" customHeight="1" x14ac:dyDescent="0.3">
      <c r="A12" s="48" t="s">
        <v>107</v>
      </c>
      <c r="B12" s="11" t="s">
        <v>21</v>
      </c>
      <c r="C12" s="12">
        <v>20684749216.535248</v>
      </c>
      <c r="D12" s="49">
        <v>1.6257105381258651E-2</v>
      </c>
      <c r="F12" s="48" t="s">
        <v>101</v>
      </c>
      <c r="G12" s="11" t="s">
        <v>28</v>
      </c>
      <c r="H12" s="12">
        <v>67803349661.192307</v>
      </c>
    </row>
    <row r="13" spans="1:8" ht="18.600000000000001" customHeight="1" x14ac:dyDescent="0.3">
      <c r="A13" s="50" t="s">
        <v>108</v>
      </c>
      <c r="B13" s="16" t="s">
        <v>18</v>
      </c>
      <c r="C13" s="17">
        <v>19622342004.458611</v>
      </c>
      <c r="D13" s="51">
        <v>1.5422110195978268E-2</v>
      </c>
      <c r="F13" s="50" t="s">
        <v>102</v>
      </c>
      <c r="G13" s="16" t="s">
        <v>26</v>
      </c>
      <c r="H13" s="17">
        <v>56159386352.439247</v>
      </c>
    </row>
    <row r="14" spans="1:8" ht="18.600000000000001" customHeight="1" x14ac:dyDescent="0.3">
      <c r="A14" s="48" t="s">
        <v>109</v>
      </c>
      <c r="B14" s="11" t="s">
        <v>11</v>
      </c>
      <c r="C14" s="12">
        <v>16062572891.72971</v>
      </c>
      <c r="D14" s="49">
        <v>1.2624322270547621E-2</v>
      </c>
      <c r="F14" s="48" t="s">
        <v>103</v>
      </c>
      <c r="G14" s="11" t="s">
        <v>29</v>
      </c>
      <c r="H14" s="12">
        <v>26172820697.293491</v>
      </c>
    </row>
    <row r="15" spans="1:8" ht="18.600000000000001" customHeight="1" x14ac:dyDescent="0.3">
      <c r="A15" s="50" t="s">
        <v>110</v>
      </c>
      <c r="B15" s="16" t="s">
        <v>15</v>
      </c>
      <c r="C15" s="17">
        <v>14948071140.6492</v>
      </c>
      <c r="D15" s="51">
        <v>1.1748383566856244E-2</v>
      </c>
    </row>
    <row r="16" spans="1:8" ht="18.600000000000001" customHeight="1" x14ac:dyDescent="0.3">
      <c r="A16" s="48" t="s">
        <v>111</v>
      </c>
      <c r="B16" s="11" t="s">
        <v>23</v>
      </c>
      <c r="C16" s="12">
        <v>11288379924.713783</v>
      </c>
      <c r="D16" s="49">
        <v>8.8720622183349855E-3</v>
      </c>
    </row>
    <row r="17" spans="1:4" ht="18.600000000000001" customHeight="1" x14ac:dyDescent="0.3">
      <c r="A17" s="50" t="s">
        <v>112</v>
      </c>
      <c r="B17" s="16" t="s">
        <v>12</v>
      </c>
      <c r="C17" s="17">
        <v>11168873950.398266</v>
      </c>
      <c r="D17" s="51">
        <v>8.7781369211124179E-3</v>
      </c>
    </row>
    <row r="18" spans="1:4" ht="18.600000000000001" customHeight="1" x14ac:dyDescent="0.3">
      <c r="A18" s="48" t="s">
        <v>113</v>
      </c>
      <c r="B18" s="11" t="s">
        <v>22</v>
      </c>
      <c r="C18" s="12">
        <v>10611935283.401197</v>
      </c>
      <c r="D18" s="49">
        <v>8.3404129484654019E-3</v>
      </c>
    </row>
    <row r="19" spans="1:4" ht="18.600000000000001" customHeight="1" x14ac:dyDescent="0.3">
      <c r="A19" s="50" t="s">
        <v>114</v>
      </c>
      <c r="B19" s="16" t="s">
        <v>8</v>
      </c>
      <c r="C19" s="17">
        <v>4411064035.1451998</v>
      </c>
      <c r="D19" s="51">
        <v>3.4668601544131914E-3</v>
      </c>
    </row>
    <row r="20" spans="1:4" ht="18.600000000000001" customHeight="1" x14ac:dyDescent="0.3">
      <c r="A20" s="48" t="s">
        <v>115</v>
      </c>
      <c r="B20" s="11" t="s">
        <v>17</v>
      </c>
      <c r="C20" s="12">
        <v>124349620.05985147</v>
      </c>
      <c r="D20" s="130">
        <v>9.7732143439111885E-5</v>
      </c>
    </row>
    <row r="21" spans="1:4" ht="18.600000000000001" customHeight="1" thickBot="1" x14ac:dyDescent="0.35">
      <c r="A21" s="52"/>
      <c r="B21" s="20" t="s">
        <v>24</v>
      </c>
      <c r="C21" s="21">
        <v>847105868494.53784</v>
      </c>
      <c r="D21" s="53">
        <v>0.66577985689038466</v>
      </c>
    </row>
    <row r="22" spans="1:4" ht="18.600000000000001" customHeight="1" thickTop="1" x14ac:dyDescent="0.3">
      <c r="A22" s="48" t="s">
        <v>99</v>
      </c>
      <c r="B22" s="11" t="s">
        <v>25</v>
      </c>
      <c r="C22" s="12">
        <v>169138376474.0889</v>
      </c>
      <c r="D22" s="49">
        <v>0.13293370790089978</v>
      </c>
    </row>
    <row r="23" spans="1:4" ht="18.600000000000001" customHeight="1" x14ac:dyDescent="0.3">
      <c r="A23" s="50" t="s">
        <v>100</v>
      </c>
      <c r="B23" s="16" t="s">
        <v>27</v>
      </c>
      <c r="C23" s="17">
        <v>105971501423.94078</v>
      </c>
      <c r="D23" s="51">
        <v>8.3287926192598935E-2</v>
      </c>
    </row>
    <row r="24" spans="1:4" ht="18.600000000000001" customHeight="1" x14ac:dyDescent="0.3">
      <c r="A24" s="48" t="s">
        <v>101</v>
      </c>
      <c r="B24" s="11" t="s">
        <v>28</v>
      </c>
      <c r="C24" s="12">
        <v>67803349661.192307</v>
      </c>
      <c r="D24" s="49">
        <v>5.3289802506436543E-2</v>
      </c>
    </row>
    <row r="25" spans="1:4" ht="18.600000000000001" customHeight="1" x14ac:dyDescent="0.3">
      <c r="A25" s="50" t="s">
        <v>102</v>
      </c>
      <c r="B25" s="16" t="s">
        <v>26</v>
      </c>
      <c r="C25" s="17">
        <v>56159386352.439247</v>
      </c>
      <c r="D25" s="51">
        <v>4.4138270786893877E-2</v>
      </c>
    </row>
    <row r="26" spans="1:4" ht="18.600000000000001" customHeight="1" x14ac:dyDescent="0.3">
      <c r="A26" s="48" t="s">
        <v>103</v>
      </c>
      <c r="B26" s="11" t="s">
        <v>29</v>
      </c>
      <c r="C26" s="12">
        <v>26172820697.293491</v>
      </c>
      <c r="D26" s="49">
        <v>2.0570435722786069E-2</v>
      </c>
    </row>
    <row r="27" spans="1:4" ht="18.600000000000001" customHeight="1" thickBot="1" x14ac:dyDescent="0.35">
      <c r="A27" s="52"/>
      <c r="B27" s="20" t="s">
        <v>30</v>
      </c>
      <c r="C27" s="21">
        <v>425245434608.95477</v>
      </c>
      <c r="D27" s="53">
        <v>0.33422014310961523</v>
      </c>
    </row>
    <row r="28" spans="1:4" ht="18.600000000000001" customHeight="1" thickTop="1" thickBot="1" x14ac:dyDescent="0.35">
      <c r="A28" s="54"/>
      <c r="B28" s="24" t="s">
        <v>31</v>
      </c>
      <c r="C28" s="25">
        <v>1272351303103.4927</v>
      </c>
      <c r="D28" s="55">
        <v>1</v>
      </c>
    </row>
    <row r="29" spans="1:4" ht="18" thickTop="1" x14ac:dyDescent="0.3">
      <c r="A29" s="148" t="s">
        <v>37</v>
      </c>
      <c r="B29" s="148"/>
      <c r="C29" s="148"/>
      <c r="D29" s="148"/>
    </row>
    <row r="30" spans="1:4" ht="17.25" x14ac:dyDescent="0.3">
      <c r="A30" s="142" t="s">
        <v>131</v>
      </c>
      <c r="B30" s="142"/>
      <c r="C30" s="142"/>
      <c r="D30" s="142"/>
    </row>
    <row r="33" ht="17.25" x14ac:dyDescent="0.3"/>
  </sheetData>
  <sortState xmlns:xlrd2="http://schemas.microsoft.com/office/spreadsheetml/2017/richdata2" ref="B23:D26">
    <sortCondition descending="1" ref="D22:D26"/>
  </sortState>
  <mergeCells count="4">
    <mergeCell ref="A1:D1"/>
    <mergeCell ref="B2:C2"/>
    <mergeCell ref="A29:D29"/>
    <mergeCell ref="A30:D30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VBP</vt:lpstr>
      <vt:lpstr>VBP completo</vt:lpstr>
      <vt:lpstr>Laspeyres</vt:lpstr>
      <vt:lpstr>Variação</vt:lpstr>
      <vt:lpstr>VBP Completo Nominal</vt:lpstr>
      <vt:lpstr>Ranking 2024</vt:lpstr>
    </vt:vector>
  </TitlesOfParts>
  <Manager/>
  <Company>MAPA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Eliana Bastos</dc:creator>
  <cp:keywords/>
  <dc:description/>
  <cp:lastModifiedBy>Eliana Teles Bastos</cp:lastModifiedBy>
  <cp:revision/>
  <cp:lastPrinted>2024-11-26T19:39:26Z</cp:lastPrinted>
  <dcterms:created xsi:type="dcterms:W3CDTF">2001-05-31T12:19:52Z</dcterms:created>
  <dcterms:modified xsi:type="dcterms:W3CDTF">2025-01-14T14:23:07Z</dcterms:modified>
  <cp:category/>
  <cp:contentStatus/>
</cp:coreProperties>
</file>