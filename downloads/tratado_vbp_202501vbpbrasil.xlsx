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agromapa-my.sharepoint.com/personal/eliana_bastos_agricultura_gov_br/Documents/MAPA 2022/MAPA/VBP/2025/VBP SITE/ENVIADOS/"/>
    </mc:Choice>
  </mc:AlternateContent>
  <xr:revisionPtr revIDLastSave="0" documentId="8_{009B53E8-FABF-4D8A-AA3D-9E68209CDDF0}" xr6:coauthVersionLast="47" xr6:coauthVersionMax="47" xr10:uidLastSave="{00000000-0000-0000-0000-000000000000}"/>
  <bookViews>
    <workbookView xWindow="-108" yWindow="-108" windowWidth="23256" windowHeight="12456" tabRatio="833" xr2:uid="{00000000-000D-0000-FFFF-FFFF00000000}"/>
  </bookViews>
  <sheets>
    <sheet name="Capa" sheetId="30" r:id="rId1"/>
    <sheet name="VBP" sheetId="25" r:id="rId2"/>
    <sheet name="VBP completo" sheetId="26" r:id="rId3"/>
    <sheet name="Laspeyres" sheetId="23" r:id="rId4"/>
    <sheet name="Variação" sheetId="16" r:id="rId5"/>
    <sheet name="VBP Completo Nominal" sheetId="28" r:id="rId6"/>
    <sheet name="Ranking 2025" sheetId="29" r:id="rId7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<sst xmlns="http://schemas.openxmlformats.org/spreadsheetml/2006/main" count="636" uniqueCount="137">
  <si>
    <t xml:space="preserve"> </t>
  </si>
  <si>
    <t>VALOR BRUTO DA PRODUÇÃO - LAVOURAS E PECUÁRIA - BRASIL</t>
  </si>
  <si>
    <t>Valores em R$*</t>
  </si>
  <si>
    <t>LAVOURAS</t>
  </si>
  <si>
    <t>2024**</t>
  </si>
  <si>
    <t>variação % 2024/2023</t>
  </si>
  <si>
    <t>Gráficos</t>
  </si>
  <si>
    <t>Algodão</t>
  </si>
  <si>
    <t>Amendoim</t>
  </si>
  <si>
    <t>Arroz</t>
  </si>
  <si>
    <t>Banana</t>
  </si>
  <si>
    <t>Batata - inglesa</t>
  </si>
  <si>
    <t>Cacau</t>
  </si>
  <si>
    <t>Café</t>
  </si>
  <si>
    <t>Cana-de-açúcar</t>
  </si>
  <si>
    <t>Feijão</t>
  </si>
  <si>
    <t>Laranja</t>
  </si>
  <si>
    <t>Mamona</t>
  </si>
  <si>
    <t>Mandioca</t>
  </si>
  <si>
    <t>Milho</t>
  </si>
  <si>
    <t>Soja</t>
  </si>
  <si>
    <t>Tomate</t>
  </si>
  <si>
    <t>Trigo</t>
  </si>
  <si>
    <t>Uva</t>
  </si>
  <si>
    <t>TOTAL LAVOURAS</t>
  </si>
  <si>
    <t>Bovinos</t>
  </si>
  <si>
    <t>Suínos</t>
  </si>
  <si>
    <t>Frango</t>
  </si>
  <si>
    <t>Leite</t>
  </si>
  <si>
    <t>Ovos</t>
  </si>
  <si>
    <t>TOTAL PECUÁRIA</t>
  </si>
  <si>
    <t>VBP TOTAL</t>
  </si>
  <si>
    <t xml:space="preserve">OBS: Devido a descontinuidade da informação pela FGV-FGVDados, comunicado da FGV em 24/04/2017, foram usados preços da FGV até dez/2016. A partir desta data os produtos, que antes eram informados pela FGV, passaram a ser substituídos pelos preços da Conab.  Informamos que em janeiro/2021 reformulamos o cálculo do algodão, passando a utilizar apenas o algodão em pluma, que agora tem como fonte, para produção e preço, a CONAB. O cálculo é retroativo a 2017. </t>
  </si>
  <si>
    <t>Nota: a partir de dezembro de 2015 preços de laranja retroativo a 2012 e frango retroativo a 2005, foram alterados para Conab e Cepea respectivamente. Para cacau, a partir de abril/2017, retroativo a jan/2016 foi alterado para Conab.</t>
  </si>
  <si>
    <t>Devido a descontinuidade da informação de produção pelo LSPA/IBGE, fonte desta informação, as séries de cebola, maçã e pimenta do reino finalizam-se em 2017.</t>
  </si>
  <si>
    <t>OBS: 1) informamos que em março/2023, a série histórica de frangos, foi revisada devido à identificação de registros de peso vivo de frangos em vez de peso de carcaça, conforme nota IBGE.</t>
  </si>
  <si>
    <t xml:space="preserve">         2) informamos que a série de suíno, a partir de janeiro/2024, passou por alteração em sua metodologia, adotando-se os preços de suíno vivo convertido para carcaça, para formação do valor bruto.</t>
  </si>
  <si>
    <t>Elaboração: CGPOP/DAEP/SPA/MAPA.</t>
  </si>
  <si>
    <t>Valores em bilhões R$*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</si>
  <si>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</si>
  <si>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</si>
  <si>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</si>
  <si>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</si>
  <si>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</si>
  <si>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</si>
  <si>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</si>
  <si>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</si>
  <si>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</si>
  <si>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</si>
  <si>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</si>
  <si>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</si>
  <si>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</si>
  <si>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</si>
  <si>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</si>
  <si>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</si>
  <si>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</si>
  <si>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</si>
  <si>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</si>
  <si>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</si>
  <si>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</si>
  <si>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</si>
  <si>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</si>
  <si>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</si>
  <si>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</si>
  <si>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</si>
  <si>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</si>
  <si>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</si>
  <si>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</si>
  <si>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</si>
  <si>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</si>
  <si>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</si>
  <si>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</si>
  <si>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</si>
  <si>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% 2023/2022</t>
  </si>
  <si>
    <t>% 2024/2023</t>
  </si>
  <si>
    <t xml:space="preserve">   Café arábica</t>
  </si>
  <si>
    <t xml:space="preserve">   Café conilon</t>
  </si>
  <si>
    <t>Cebola</t>
  </si>
  <si>
    <t>Fumo</t>
  </si>
  <si>
    <t>Pimenta-do-reino</t>
  </si>
  <si>
    <t>Maçã</t>
  </si>
  <si>
    <t>PECUÁRIA</t>
  </si>
  <si>
    <t>Evolução do Produto de Lavouras</t>
  </si>
  <si>
    <t>(Índice de Laspeyres)</t>
  </si>
  <si>
    <t>Ano</t>
  </si>
  <si>
    <t>Indice de Prod. base 1990</t>
  </si>
  <si>
    <t>variação anual</t>
  </si>
  <si>
    <t>Fonte dos dados brutos: FGV e IBGE; Elaboração: CGPOP/DAEP/SPA/MAPA.</t>
  </si>
  <si>
    <t>Nota: Os preços utilizados são do Censo Agropecuário 1995/96</t>
  </si>
  <si>
    <t>VALOR BRUTO DA PRODUÇÃO - PRINCIPAIS PRODUTOS AGROPECUÁRIOS - BRASIL</t>
  </si>
  <si>
    <t>Últimos 6 meses - Valores em R$*</t>
  </si>
  <si>
    <t>Variação Percentual (%)</t>
  </si>
  <si>
    <t>Algodão Pluma</t>
  </si>
  <si>
    <t>**Informamos que em janeiro/2021 reformulamos o cálculo do algodão, passando a utilizar apenas o algodão em pluma, que agora tem como fonte, para produção e preço, a CONAB.</t>
  </si>
  <si>
    <t>VALOR BRUTO NOMINAL DA PRODUÇÃO - LAVOURAS E PECUÁRIA - BRASIL</t>
  </si>
  <si>
    <t>* Valores nominais</t>
  </si>
  <si>
    <t>Posição do Produto no Valor Bruto da Produção</t>
  </si>
  <si>
    <t>POSIÇÃO</t>
  </si>
  <si>
    <t>%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</si>
  <si>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</si>
  <si>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</si>
  <si>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</si>
  <si>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</si>
  <si>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</si>
  <si>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</si>
  <si>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</si>
  <si>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</si>
  <si>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</si>
  <si>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</si>
  <si>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</si>
  <si>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</si>
  <si>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</si>
  <si>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</si>
  <si>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</si>
  <si>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</si>
  <si>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</si>
  <si>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-</t>
  </si>
  <si>
    <t>ago/set</t>
  </si>
  <si>
    <t>2025***</t>
  </si>
  <si>
    <t>% 2025/2024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</si>
  <si>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</si>
  <si>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</si>
  <si>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 xml:space="preserve">         3) em outubro de 2024 a série de suínos foi ajustada, alterando os dados a partir de 2017, para se adequar a nova metodologia implantada em janeiro/2024. </t>
  </si>
  <si>
    <t>variação % 2025/2024</t>
  </si>
  <si>
    <t>set/out</t>
  </si>
  <si>
    <t>out/nov</t>
  </si>
  <si>
    <t>nov/dez</t>
  </si>
  <si>
    <t>2025**</t>
  </si>
  <si>
    <t>2024</t>
  </si>
  <si>
    <t>dez/jan</t>
  </si>
  <si>
    <t>Fonte Produção: Lavouras: IBGE - Levantamento Sistemático da Produção Agrícola - LSPA e Algodão Pluma, CONAB - Previsão de Safra; janeiro/2025; Pecuária: IBGE - Pesquisa Trimestral do Abate de Animais; Pesquisa Trimestral do Leite, Produção de Ovos de Galinha. Considerou-se para o ano em curso a produção dos últimos 4 trimestres.</t>
  </si>
  <si>
    <t xml:space="preserve">* Valores deflacionados pelo IGP-DI da FGV - janeiro/2025. </t>
  </si>
  <si>
    <t>* As informações de produção referem-se ao LSPA de janeiro/2025</t>
  </si>
  <si>
    <t>Fonte Preços: Cepea/Esalq/USP, CONAB e FGV/FGVDados; Preços Recebidos pelos Produtores média anual para os anos fechados e para 2025 preços médios de janeiro.</t>
  </si>
  <si>
    <t>** Valor Preliminar com base em janeiro/2025</t>
  </si>
  <si>
    <t>Fonte Preços: Cepea/Esalq/USP, CONAB e FGV/FGVDados; Preços Recebidos pelos Produtores média anual para os anos fechados e para 2025, preços médios de janeiro.</t>
  </si>
  <si>
    <t>Fonte: IBGE - Levantamento Sistemático da Produção Agrícola - LSPA e Algodão Pluma, CONAB - Previsão de Safra;  agosto/2024 a janeiro/2025; Pecuária: IBGE - Pesquisa Trimestral do Abate de Animais; Pesquisa Trimestral do Leite, Produção de Ovos de Galinha. Considerou-se para o ano em curso a produção dos últimos 4 trimestres.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</si>
</sst>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#,##0.0"/>
    <numFmt numFmtId="173" formatCode="0.0%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0"/>
      <name val="Segoe UI"/>
      <family val="2"/>
    </font>
    <font>
      <sz val="12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u/>
      <sz val="1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/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50">
    <xf numFmtId="0" fontId="0" fillId="0" borderId="0" xfId="0"/>
    <xf numFmtId="0" fontId="5" fillId="0" borderId="0" xfId="0" applyFont="1" applyAlignment="1">
      <alignment horizontal="centerContinuous" vertical="center" wrapText="1"/>
    </xf>
    <xf numFmtId="0" fontId="6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4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0" fillId="5" borderId="10" xfId="0" applyFont="1" applyFill="1" applyBorder="1"/>
    <xf numFmtId="3" fontId="10" fillId="5" borderId="11" xfId="0" applyNumberFormat="1" applyFont="1" applyFill="1" applyBorder="1"/>
    <xf numFmtId="171" fontId="10" fillId="5" borderId="7" xfId="0" applyNumberFormat="1" applyFont="1" applyFill="1" applyBorder="1" applyAlignment="1">
      <alignment horizontal="center"/>
    </xf>
    <xf numFmtId="3" fontId="10" fillId="5" borderId="6" xfId="0" applyNumberFormat="1" applyFont="1" applyFill="1" applyBorder="1"/>
    <xf numFmtId="0" fontId="8" fillId="0" borderId="0" xfId="0" applyFont="1" applyAlignment="1">
      <alignment horizontal="left"/>
    </xf>
    <xf numFmtId="0" fontId="10" fillId="0" borderId="10" xfId="0" applyFont="1" applyBorder="1"/>
    <xf numFmtId="3" fontId="10" fillId="0" borderId="11" xfId="0" applyNumberFormat="1" applyFont="1" applyBorder="1"/>
    <xf numFmtId="171" fontId="10" fillId="0" borderId="7" xfId="0" applyNumberFormat="1" applyFont="1" applyBorder="1" applyAlignment="1">
      <alignment horizontal="center"/>
    </xf>
    <xf numFmtId="3" fontId="10" fillId="0" borderId="6" xfId="0" applyNumberFormat="1" applyFont="1" applyBorder="1"/>
    <xf numFmtId="0" fontId="11" fillId="2" borderId="8" xfId="0" applyFont="1" applyFill="1" applyBorder="1"/>
    <xf numFmtId="3" fontId="11" fillId="2" borderId="3" xfId="0" applyNumberFormat="1" applyFont="1" applyFill="1" applyBorder="1"/>
    <xf numFmtId="171" fontId="10" fillId="2" borderId="2" xfId="0" applyNumberFormat="1" applyFont="1" applyFill="1" applyBorder="1" applyAlignment="1">
      <alignment horizontal="center"/>
    </xf>
    <xf numFmtId="3" fontId="11" fillId="2" borderId="9" xfId="0" applyNumberFormat="1" applyFont="1" applyFill="1" applyBorder="1"/>
    <xf numFmtId="0" fontId="11" fillId="3" borderId="8" xfId="0" applyFont="1" applyFill="1" applyBorder="1"/>
    <xf numFmtId="3" fontId="11" fillId="3" borderId="3" xfId="0" applyNumberFormat="1" applyFont="1" applyFill="1" applyBorder="1"/>
    <xf numFmtId="171" fontId="10" fillId="3" borderId="2" xfId="0" applyNumberFormat="1" applyFont="1" applyFill="1" applyBorder="1" applyAlignment="1">
      <alignment horizontal="center"/>
    </xf>
    <xf numFmtId="3" fontId="11" fillId="3" borderId="9" xfId="0" applyNumberFormat="1" applyFont="1" applyFill="1" applyBorder="1"/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" fontId="10" fillId="5" borderId="11" xfId="0" applyNumberFormat="1" applyFont="1" applyFill="1" applyBorder="1"/>
    <xf numFmtId="4" fontId="10" fillId="5" borderId="13" xfId="0" applyNumberFormat="1" applyFont="1" applyFill="1" applyBorder="1"/>
    <xf numFmtId="4" fontId="10" fillId="0" borderId="11" xfId="0" applyNumberFormat="1" applyFont="1" applyBorder="1"/>
    <xf numFmtId="4" fontId="10" fillId="0" borderId="13" xfId="0" applyNumberFormat="1" applyFont="1" applyBorder="1"/>
    <xf numFmtId="0" fontId="11" fillId="0" borderId="8" xfId="0" applyFont="1" applyBorder="1"/>
    <xf numFmtId="4" fontId="11" fillId="0" borderId="3" xfId="0" applyNumberFormat="1" applyFont="1" applyBorder="1"/>
    <xf numFmtId="4" fontId="11" fillId="0" borderId="12" xfId="0" applyNumberFormat="1" applyFont="1" applyBorder="1"/>
    <xf numFmtId="0" fontId="11" fillId="5" borderId="8" xfId="0" applyFont="1" applyFill="1" applyBorder="1"/>
    <xf numFmtId="4" fontId="11" fillId="5" borderId="3" xfId="0" applyNumberFormat="1" applyFont="1" applyFill="1" applyBorder="1"/>
    <xf numFmtId="4" fontId="11" fillId="5" borderId="12" xfId="0" applyNumberFormat="1" applyFont="1" applyFill="1" applyBorder="1"/>
    <xf numFmtId="0" fontId="8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173" fontId="10" fillId="5" borderId="11" xfId="1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173" fontId="10" fillId="0" borderId="11" xfId="1" applyNumberFormat="1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173" fontId="11" fillId="2" borderId="3" xfId="1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173" fontId="11" fillId="3" borderId="3" xfId="1" applyNumberFormat="1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3" fontId="10" fillId="5" borderId="13" xfId="0" applyNumberFormat="1" applyFont="1" applyFill="1" applyBorder="1"/>
    <xf numFmtId="3" fontId="10" fillId="0" borderId="13" xfId="0" applyNumberFormat="1" applyFont="1" applyBorder="1"/>
    <xf numFmtId="3" fontId="11" fillId="0" borderId="3" xfId="0" applyNumberFormat="1" applyFont="1" applyBorder="1"/>
    <xf numFmtId="3" fontId="11" fillId="0" borderId="12" xfId="0" applyNumberFormat="1" applyFont="1" applyBorder="1"/>
    <xf numFmtId="3" fontId="11" fillId="5" borderId="3" xfId="0" applyNumberFormat="1" applyFont="1" applyFill="1" applyBorder="1"/>
    <xf numFmtId="3" fontId="11" fillId="5" borderId="12" xfId="0" applyNumberFormat="1" applyFont="1" applyFill="1" applyBorder="1"/>
    <xf numFmtId="0" fontId="9" fillId="8" borderId="3" xfId="0" applyFont="1" applyFill="1" applyBorder="1" applyAlignment="1">
      <alignment horizontal="center" vertical="center"/>
    </xf>
    <xf numFmtId="17" fontId="9" fillId="8" borderId="36" xfId="0" applyNumberFormat="1" applyFont="1" applyFill="1" applyBorder="1" applyAlignment="1">
      <alignment horizontal="center" vertical="center"/>
    </xf>
    <xf numFmtId="17" fontId="9" fillId="8" borderId="23" xfId="0" applyNumberFormat="1" applyFont="1" applyFill="1" applyBorder="1" applyAlignment="1">
      <alignment horizontal="center" vertical="center"/>
    </xf>
    <xf numFmtId="17" fontId="9" fillId="8" borderId="24" xfId="0" applyNumberFormat="1" applyFont="1" applyFill="1" applyBorder="1" applyAlignment="1">
      <alignment horizontal="center" vertical="center"/>
    </xf>
    <xf numFmtId="17" fontId="9" fillId="8" borderId="27" xfId="0" applyNumberFormat="1" applyFont="1" applyFill="1" applyBorder="1" applyAlignment="1">
      <alignment horizontal="center" vertical="center"/>
    </xf>
    <xf numFmtId="0" fontId="10" fillId="9" borderId="40" xfId="0" applyFont="1" applyFill="1" applyBorder="1"/>
    <xf numFmtId="3" fontId="10" fillId="9" borderId="38" xfId="0" applyNumberFormat="1" applyFont="1" applyFill="1" applyBorder="1" applyAlignment="1">
      <alignment horizontal="right"/>
    </xf>
    <xf numFmtId="3" fontId="10" fillId="9" borderId="28" xfId="0" applyNumberFormat="1" applyFont="1" applyFill="1" applyBorder="1" applyAlignment="1">
      <alignment horizontal="right"/>
    </xf>
    <xf numFmtId="3" fontId="10" fillId="9" borderId="35" xfId="0" applyNumberFormat="1" applyFont="1" applyFill="1" applyBorder="1" applyAlignment="1">
      <alignment horizontal="right"/>
    </xf>
    <xf numFmtId="4" fontId="10" fillId="9" borderId="37" xfId="0" applyNumberFormat="1" applyFont="1" applyFill="1" applyBorder="1" applyAlignment="1">
      <alignment horizontal="center"/>
    </xf>
    <xf numFmtId="4" fontId="10" fillId="9" borderId="29" xfId="0" applyNumberFormat="1" applyFont="1" applyFill="1" applyBorder="1" applyAlignment="1">
      <alignment horizontal="center"/>
    </xf>
    <xf numFmtId="4" fontId="10" fillId="9" borderId="30" xfId="0" applyNumberFormat="1" applyFont="1" applyFill="1" applyBorder="1" applyAlignment="1">
      <alignment horizontal="center"/>
    </xf>
    <xf numFmtId="4" fontId="10" fillId="9" borderId="31" xfId="0" applyNumberFormat="1" applyFont="1" applyFill="1" applyBorder="1" applyAlignment="1">
      <alignment horizontal="center"/>
    </xf>
    <xf numFmtId="0" fontId="10" fillId="10" borderId="40" xfId="0" applyFont="1" applyFill="1" applyBorder="1"/>
    <xf numFmtId="3" fontId="10" fillId="10" borderId="38" xfId="0" applyNumberFormat="1" applyFont="1" applyFill="1" applyBorder="1" applyAlignment="1">
      <alignment horizontal="right"/>
    </xf>
    <xf numFmtId="3" fontId="10" fillId="10" borderId="28" xfId="0" applyNumberFormat="1" applyFont="1" applyFill="1" applyBorder="1" applyAlignment="1">
      <alignment horizontal="right"/>
    </xf>
    <xf numFmtId="3" fontId="10" fillId="10" borderId="35" xfId="0" applyNumberFormat="1" applyFont="1" applyFill="1" applyBorder="1" applyAlignment="1">
      <alignment horizontal="right"/>
    </xf>
    <xf numFmtId="4" fontId="10" fillId="10" borderId="38" xfId="0" applyNumberFormat="1" applyFont="1" applyFill="1" applyBorder="1" applyAlignment="1">
      <alignment horizontal="center"/>
    </xf>
    <xf numFmtId="4" fontId="10" fillId="10" borderId="28" xfId="0" applyNumberFormat="1" applyFont="1" applyFill="1" applyBorder="1" applyAlignment="1">
      <alignment horizontal="center"/>
    </xf>
    <xf numFmtId="4" fontId="10" fillId="10" borderId="32" xfId="0" applyNumberFormat="1" applyFont="1" applyFill="1" applyBorder="1" applyAlignment="1">
      <alignment horizontal="center"/>
    </xf>
    <xf numFmtId="4" fontId="10" fillId="10" borderId="19" xfId="0" applyNumberFormat="1" applyFont="1" applyFill="1" applyBorder="1" applyAlignment="1">
      <alignment horizontal="center"/>
    </xf>
    <xf numFmtId="4" fontId="10" fillId="9" borderId="38" xfId="0" applyNumberFormat="1" applyFont="1" applyFill="1" applyBorder="1" applyAlignment="1">
      <alignment horizontal="center"/>
    </xf>
    <xf numFmtId="4" fontId="10" fillId="9" borderId="28" xfId="0" applyNumberFormat="1" applyFont="1" applyFill="1" applyBorder="1" applyAlignment="1">
      <alignment horizontal="center"/>
    </xf>
    <xf numFmtId="4" fontId="10" fillId="9" borderId="32" xfId="0" applyNumberFormat="1" applyFont="1" applyFill="1" applyBorder="1" applyAlignment="1">
      <alignment horizontal="center"/>
    </xf>
    <xf numFmtId="4" fontId="10" fillId="9" borderId="19" xfId="0" applyNumberFormat="1" applyFont="1" applyFill="1" applyBorder="1" applyAlignment="1">
      <alignment horizontal="center"/>
    </xf>
    <xf numFmtId="0" fontId="11" fillId="10" borderId="3" xfId="0" applyFont="1" applyFill="1" applyBorder="1"/>
    <xf numFmtId="3" fontId="11" fillId="10" borderId="36" xfId="0" applyNumberFormat="1" applyFont="1" applyFill="1" applyBorder="1"/>
    <xf numFmtId="3" fontId="11" fillId="10" borderId="23" xfId="0" applyNumberFormat="1" applyFont="1" applyFill="1" applyBorder="1"/>
    <xf numFmtId="3" fontId="11" fillId="10" borderId="24" xfId="0" applyNumberFormat="1" applyFont="1" applyFill="1" applyBorder="1"/>
    <xf numFmtId="4" fontId="11" fillId="10" borderId="36" xfId="0" applyNumberFormat="1" applyFont="1" applyFill="1" applyBorder="1" applyAlignment="1">
      <alignment horizontal="center"/>
    </xf>
    <xf numFmtId="4" fontId="11" fillId="10" borderId="23" xfId="0" applyNumberFormat="1" applyFont="1" applyFill="1" applyBorder="1" applyAlignment="1">
      <alignment horizontal="center"/>
    </xf>
    <xf numFmtId="4" fontId="11" fillId="10" borderId="27" xfId="0" applyNumberFormat="1" applyFont="1" applyFill="1" applyBorder="1" applyAlignment="1">
      <alignment horizontal="center"/>
    </xf>
    <xf numFmtId="4" fontId="11" fillId="10" borderId="16" xfId="0" applyNumberFormat="1" applyFont="1" applyFill="1" applyBorder="1" applyAlignment="1">
      <alignment horizontal="center"/>
    </xf>
    <xf numFmtId="3" fontId="10" fillId="9" borderId="38" xfId="0" applyNumberFormat="1" applyFont="1" applyFill="1" applyBorder="1"/>
    <xf numFmtId="3" fontId="10" fillId="9" borderId="28" xfId="0" applyNumberFormat="1" applyFont="1" applyFill="1" applyBorder="1"/>
    <xf numFmtId="3" fontId="10" fillId="9" borderId="35" xfId="0" applyNumberFormat="1" applyFont="1" applyFill="1" applyBorder="1"/>
    <xf numFmtId="3" fontId="10" fillId="10" borderId="38" xfId="0" applyNumberFormat="1" applyFont="1" applyFill="1" applyBorder="1"/>
    <xf numFmtId="3" fontId="10" fillId="10" borderId="28" xfId="0" applyNumberFormat="1" applyFont="1" applyFill="1" applyBorder="1"/>
    <xf numFmtId="3" fontId="10" fillId="10" borderId="35" xfId="0" applyNumberFormat="1" applyFont="1" applyFill="1" applyBorder="1"/>
    <xf numFmtId="0" fontId="11" fillId="9" borderId="4" xfId="0" applyFont="1" applyFill="1" applyBorder="1"/>
    <xf numFmtId="3" fontId="11" fillId="9" borderId="39" xfId="0" applyNumberFormat="1" applyFont="1" applyFill="1" applyBorder="1"/>
    <xf numFmtId="3" fontId="11" fillId="9" borderId="25" xfId="0" applyNumberFormat="1" applyFont="1" applyFill="1" applyBorder="1"/>
    <xf numFmtId="3" fontId="11" fillId="9" borderId="26" xfId="0" applyNumberFormat="1" applyFont="1" applyFill="1" applyBorder="1"/>
    <xf numFmtId="2" fontId="11" fillId="9" borderId="39" xfId="0" applyNumberFormat="1" applyFont="1" applyFill="1" applyBorder="1" applyAlignment="1">
      <alignment horizontal="center"/>
    </xf>
    <xf numFmtId="2" fontId="11" fillId="9" borderId="25" xfId="0" applyNumberFormat="1" applyFont="1" applyFill="1" applyBorder="1" applyAlignment="1">
      <alignment horizontal="center"/>
    </xf>
    <xf numFmtId="2" fontId="11" fillId="9" borderId="33" xfId="0" applyNumberFormat="1" applyFont="1" applyFill="1" applyBorder="1" applyAlignment="1">
      <alignment horizontal="center"/>
    </xf>
    <xf numFmtId="2" fontId="11" fillId="9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 wrapText="1"/>
    </xf>
    <xf numFmtId="0" fontId="11" fillId="7" borderId="14" xfId="0" applyFont="1" applyFill="1" applyBorder="1" applyAlignment="1">
      <alignment horizontal="center" vertical="center" wrapText="1"/>
    </xf>
    <xf numFmtId="4" fontId="11" fillId="7" borderId="15" xfId="0" applyNumberFormat="1" applyFont="1" applyFill="1" applyBorder="1" applyAlignment="1">
      <alignment horizontal="center" vertical="center" wrapText="1"/>
    </xf>
    <xf numFmtId="4" fontId="11" fillId="7" borderId="16" xfId="0" applyNumberFormat="1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/>
    </xf>
    <xf numFmtId="4" fontId="10" fillId="6" borderId="21" xfId="0" applyNumberFormat="1" applyFont="1" applyFill="1" applyBorder="1" applyAlignment="1">
      <alignment horizontal="center"/>
    </xf>
    <xf numFmtId="4" fontId="10" fillId="6" borderId="22" xfId="0" applyNumberFormat="1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4" fontId="10" fillId="7" borderId="18" xfId="0" applyNumberFormat="1" applyFont="1" applyFill="1" applyBorder="1" applyAlignment="1">
      <alignment horizontal="center"/>
    </xf>
    <xf numFmtId="4" fontId="10" fillId="7" borderId="19" xfId="0" applyNumberFormat="1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4" fontId="10" fillId="6" borderId="19" xfId="0" applyNumberFormat="1" applyFont="1" applyFill="1" applyBorder="1" applyAlignment="1">
      <alignment horizontal="center"/>
    </xf>
    <xf numFmtId="173" fontId="8" fillId="0" borderId="0" xfId="1" applyNumberFormat="1" applyFont="1"/>
    <xf numFmtId="173" fontId="8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Continuous" wrapText="1"/>
    </xf>
    <xf numFmtId="0" fontId="5" fillId="0" borderId="0" xfId="0" applyFont="1" applyAlignment="1">
      <alignment horizontal="left" wrapText="1"/>
    </xf>
    <xf numFmtId="0" fontId="6" fillId="11" borderId="0" xfId="0" applyFont="1" applyFill="1"/>
    <xf numFmtId="0" fontId="6" fillId="0" borderId="0" xfId="0" applyFont="1" applyAlignment="1">
      <alignment horizontal="left" vertical="center" wrapText="1"/>
    </xf>
    <xf numFmtId="49" fontId="5" fillId="0" borderId="0" xfId="1" applyNumberFormat="1" applyFont="1" applyBorder="1" applyAlignment="1">
      <alignment horizontal="center" vertical="center" wrapText="1"/>
    </xf>
    <xf numFmtId="10" fontId="10" fillId="5" borderId="11" xfId="1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3" fontId="10" fillId="5" borderId="11" xfId="0" applyNumberFormat="1" applyFont="1" applyFill="1" applyBorder="1" applyAlignment="1">
      <alignment horizontal="center"/>
    </xf>
    <xf numFmtId="3" fontId="10" fillId="5" borderId="13" xfId="0" applyNumberFormat="1" applyFont="1" applyFill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4" fontId="10" fillId="5" borderId="11" xfId="0" applyNumberFormat="1" applyFont="1" applyFill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4" fontId="10" fillId="5" borderId="13" xfId="0" applyNumberFormat="1" applyFont="1" applyFill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</cellXfs>
  <cellStyles count="5">
    <cellStyle name="Normal" xfId="0" builtinId="0"/>
    <cellStyle name="Normal 2" xfId="3" xr:uid="{00000000-0005-0000-0000-000001000000}"/>
    <cellStyle name="Normal 3" xfId="4" xr:uid="{00000000-0005-0000-0000-000002000000}"/>
    <cellStyle name="Porcentagem" xfId="1" builtinId="5"/>
    <cellStyle name="Porcentagem 2" xfId="2" xr:uid="{00000000-0005-0000-0000-000004000000}"/>
  </cellStyles>
  <dxfs count="0"/>
  <tableStyles count="0" defaultTableStyle="TableStyleMedium2" defaultPivotStyle="PivotStyleLight16"/>
  <colors>
    <mruColors>
      <color rgb="FFFF6600"/>
      <color rgb="FF008000"/>
      <color rgb="FF0000FF"/>
      <color rgb="FFEA813A"/>
      <color rgb="FFB3423F"/>
      <color rgb="FF364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7700473493150935E-2"/>
          <c:y val="0.11457839059926869"/>
          <c:w val="0.93662968313651551"/>
          <c:h val="0.700105240587977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completo'!$A$27</c:f>
              <c:strCache>
                <c:ptCount val="1"/>
                <c:pt idx="0">
                  <c:v>TOTAL LAVOURAS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completo'!$M$27:$AL$27</c:f>
              <c:numCache>
                <c:formatCode>#,##0.00</c:formatCode>
                <c:ptCount val="26"/>
                <c:pt idx="0">
                  <c:v>285.29874745842704</c:v>
                </c:pt>
                <c:pt idx="1">
                  <c:v>316.91414576046344</c:v>
                </c:pt>
                <c:pt idx="2">
                  <c:v>378.56488747871157</c:v>
                </c:pt>
                <c:pt idx="3">
                  <c:v>429.66825572692215</c:v>
                </c:pt>
                <c:pt idx="4">
                  <c:v>426.52237859320655</c:v>
                </c:pt>
                <c:pt idx="5">
                  <c:v>360.6054286381318</c:v>
                </c:pt>
                <c:pt idx="6">
                  <c:v>362.80838951255794</c:v>
                </c:pt>
                <c:pt idx="7">
                  <c:v>409.72595278201345</c:v>
                </c:pt>
                <c:pt idx="8">
                  <c:v>470.46656260948919</c:v>
                </c:pt>
                <c:pt idx="9">
                  <c:v>446.880923092285</c:v>
                </c:pt>
                <c:pt idx="10">
                  <c:v>463.46490579369492</c:v>
                </c:pt>
                <c:pt idx="11">
                  <c:v>538.25719570315755</c:v>
                </c:pt>
                <c:pt idx="12">
                  <c:v>567.52707263942978</c:v>
                </c:pt>
                <c:pt idx="13">
                  <c:v>617.47307861871866</c:v>
                </c:pt>
                <c:pt idx="14">
                  <c:v>625.41737530747002</c:v>
                </c:pt>
                <c:pt idx="15">
                  <c:v>627.6866226190117</c:v>
                </c:pt>
                <c:pt idx="16">
                  <c:v>635.62387099702391</c:v>
                </c:pt>
                <c:pt idx="17">
                  <c:v>638.26289708205672</c:v>
                </c:pt>
                <c:pt idx="18">
                  <c:v>616.5261447355399</c:v>
                </c:pt>
                <c:pt idx="19">
                  <c:v>607.66009150668617</c:v>
                </c:pt>
                <c:pt idx="20">
                  <c:v>740.75190183189238</c:v>
                </c:pt>
                <c:pt idx="21">
                  <c:v>838.1786657281051</c:v>
                </c:pt>
                <c:pt idx="22">
                  <c:v>842.90144877367936</c:v>
                </c:pt>
                <c:pt idx="23">
                  <c:v>876.31999620285967</c:v>
                </c:pt>
                <c:pt idx="24">
                  <c:v>848.03075836437336</c:v>
                </c:pt>
                <c:pt idx="25">
                  <c:v>941.55410940243632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9-4859-937A-6DDCE1CE3021}"/>
            </c:ext>
          </c:extLst>
        </c:ser>
        <c:ser>
          <c:idx val="1"/>
          <c:order val="1"/>
          <c:tx>
            <c:strRef>
              <c:f>'VBP completo'!$A$33</c:f>
              <c:strCache>
                <c:ptCount val="1"/>
                <c:pt idx="0">
                  <c:v>TOTAL PECUÁRIA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completo'!$M$33:$AL$33</c:f>
              <c:numCache>
                <c:formatCode>#,##0.00</c:formatCode>
                <c:ptCount val="26"/>
                <c:pt idx="0">
                  <c:v>135.5949114601037</c:v>
                </c:pt>
                <c:pt idx="1">
                  <c:v>144.48491826683963</c:v>
                </c:pt>
                <c:pt idx="2">
                  <c:v>153.79531709059484</c:v>
                </c:pt>
                <c:pt idx="3">
                  <c:v>164.73568602149717</c:v>
                </c:pt>
                <c:pt idx="4">
                  <c:v>178.82708599422796</c:v>
                </c:pt>
                <c:pt idx="5">
                  <c:v>190.4167070105868</c:v>
                </c:pt>
                <c:pt idx="6">
                  <c:v>184.84965221122849</c:v>
                </c:pt>
                <c:pt idx="7">
                  <c:v>216.60453814599674</c:v>
                </c:pt>
                <c:pt idx="8">
                  <c:v>242.44030810540087</c:v>
                </c:pt>
                <c:pt idx="9">
                  <c:v>239.2241076342784</c:v>
                </c:pt>
                <c:pt idx="10">
                  <c:v>249.1979959130374</c:v>
                </c:pt>
                <c:pt idx="11">
                  <c:v>263.73296202861331</c:v>
                </c:pt>
                <c:pt idx="12">
                  <c:v>268.99131063663566</c:v>
                </c:pt>
                <c:pt idx="13">
                  <c:v>300.07648256389649</c:v>
                </c:pt>
                <c:pt idx="14">
                  <c:v>323.4471054948902</c:v>
                </c:pt>
                <c:pt idx="15">
                  <c:v>329.66109720016192</c:v>
                </c:pt>
                <c:pt idx="16">
                  <c:v>318.08916700744788</c:v>
                </c:pt>
                <c:pt idx="17">
                  <c:v>322.15429554435968</c:v>
                </c:pt>
                <c:pt idx="18">
                  <c:v>311.86851821351001</c:v>
                </c:pt>
                <c:pt idx="19">
                  <c:v>340.98118712466879</c:v>
                </c:pt>
                <c:pt idx="20">
                  <c:v>377.0254913909252</c:v>
                </c:pt>
                <c:pt idx="21">
                  <c:v>390.00762697245949</c:v>
                </c:pt>
                <c:pt idx="22">
                  <c:v>384.51577204479469</c:v>
                </c:pt>
                <c:pt idx="23">
                  <c:v>392.5511416156794</c:v>
                </c:pt>
                <c:pt idx="24">
                  <c:v>425.70832811551696</c:v>
                </c:pt>
                <c:pt idx="25">
                  <c:v>472.02566495861851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9-4859-937A-6DDCE1CE3021}"/>
            </c:ext>
          </c:extLst>
        </c:ser>
        <c:ser>
          <c:idx val="2"/>
          <c:order val="2"/>
          <c:tx>
            <c:strRef>
              <c:f>'VBP completo'!$A$34</c:f>
              <c:strCache>
                <c:ptCount val="1"/>
                <c:pt idx="0">
                  <c:v>VBP TOTAL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completo'!$M$34:$AL$34</c:f>
              <c:numCache>
                <c:formatCode>#,##0.00</c:formatCode>
                <c:ptCount val="26"/>
                <c:pt idx="0">
                  <c:v>420.89365891853072</c:v>
                </c:pt>
                <c:pt idx="1">
                  <c:v>461.3990640273031</c:v>
                </c:pt>
                <c:pt idx="2">
                  <c:v>532.36020456930646</c:v>
                </c:pt>
                <c:pt idx="3">
                  <c:v>594.40394174841936</c:v>
                </c:pt>
                <c:pt idx="4">
                  <c:v>605.34946458743457</c:v>
                </c:pt>
                <c:pt idx="5">
                  <c:v>551.02213564871863</c:v>
                </c:pt>
                <c:pt idx="6">
                  <c:v>547.65804172378648</c:v>
                </c:pt>
                <c:pt idx="7">
                  <c:v>626.33049092801025</c:v>
                </c:pt>
                <c:pt idx="8">
                  <c:v>712.90687071489003</c:v>
                </c:pt>
                <c:pt idx="9">
                  <c:v>686.10503072656343</c:v>
                </c:pt>
                <c:pt idx="10">
                  <c:v>712.66290170673233</c:v>
                </c:pt>
                <c:pt idx="11">
                  <c:v>801.99015773177086</c:v>
                </c:pt>
                <c:pt idx="12">
                  <c:v>836.51838327606538</c:v>
                </c:pt>
                <c:pt idx="13">
                  <c:v>917.54956118261521</c:v>
                </c:pt>
                <c:pt idx="14">
                  <c:v>948.86448080236028</c:v>
                </c:pt>
                <c:pt idx="15">
                  <c:v>957.34771981917356</c:v>
                </c:pt>
                <c:pt idx="16">
                  <c:v>953.71303800447185</c:v>
                </c:pt>
                <c:pt idx="17">
                  <c:v>960.41719262641641</c:v>
                </c:pt>
                <c:pt idx="18">
                  <c:v>928.39466294904992</c:v>
                </c:pt>
                <c:pt idx="19">
                  <c:v>948.64127863135491</c:v>
                </c:pt>
                <c:pt idx="20">
                  <c:v>1117.7773932228176</c:v>
                </c:pt>
                <c:pt idx="21">
                  <c:v>1228.1862927005645</c:v>
                </c:pt>
                <c:pt idx="22">
                  <c:v>1227.4172208184741</c:v>
                </c:pt>
                <c:pt idx="23">
                  <c:v>1268.871137818539</c:v>
                </c:pt>
                <c:pt idx="24">
                  <c:v>1273.7390864798904</c:v>
                </c:pt>
                <c:pt idx="25">
                  <c:v>1413.5797743610549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9-4859-937A-6DDCE1CE30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2368"/>
        <c:axId val="928912760"/>
      </c:lineChart>
      <c:catAx>
        <c:axId val="92891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4.9784893140982951E-2"/>
              <c:y val="0.9261438050924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8912760"/>
        <c:crosses val="autoZero"/>
        <c:auto val="1"/>
        <c:lblAlgn val="ctr"/>
        <c:lblOffset val="100"/>
        <c:noMultiLvlLbl val="0"/>
      </c:catAx>
      <c:valAx>
        <c:axId val="92891276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Bilhões R$*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7.2137781504667972E-2"/>
          <c:y val="0.14782306132754119"/>
          <c:w val="0.55316944641614618"/>
          <c:h val="7.1595255532890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Pecuária -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8895140637784648E-2"/>
          <c:y val="0.14510777465067151"/>
          <c:w val="0.91829519364923928"/>
          <c:h val="0.653111818272240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completo'!$A$28</c:f>
              <c:strCache>
                <c:ptCount val="1"/>
                <c:pt idx="0">
                  <c:v>Bovinos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completo'!$M$28:$AL$28</c:f>
              <c:numCache>
                <c:formatCode>#,##0.00</c:formatCode>
                <c:ptCount val="26"/>
                <c:pt idx="0">
                  <c:v>60.804874537637254</c:v>
                </c:pt>
                <c:pt idx="1">
                  <c:v>67.214119293453692</c:v>
                </c:pt>
                <c:pt idx="2">
                  <c:v>71.326879298104402</c:v>
                </c:pt>
                <c:pt idx="3">
                  <c:v>71.987399742050584</c:v>
                </c:pt>
                <c:pt idx="4">
                  <c:v>80.994323431363441</c:v>
                </c:pt>
                <c:pt idx="5">
                  <c:v>78.633909031436843</c:v>
                </c:pt>
                <c:pt idx="6">
                  <c:v>81.641357246419588</c:v>
                </c:pt>
                <c:pt idx="7">
                  <c:v>88.725289688362295</c:v>
                </c:pt>
                <c:pt idx="8">
                  <c:v>97.963155903023221</c:v>
                </c:pt>
                <c:pt idx="9">
                  <c:v>96.94138238932554</c:v>
                </c:pt>
                <c:pt idx="10">
                  <c:v>102.20539712190202</c:v>
                </c:pt>
                <c:pt idx="11">
                  <c:v>108.04703382156592</c:v>
                </c:pt>
                <c:pt idx="12">
                  <c:v>109.65749535328106</c:v>
                </c:pt>
                <c:pt idx="13">
                  <c:v>118.82993899094613</c:v>
                </c:pt>
                <c:pt idx="14">
                  <c:v>136.51395320975089</c:v>
                </c:pt>
                <c:pt idx="15">
                  <c:v>141.21223824261244</c:v>
                </c:pt>
                <c:pt idx="16">
                  <c:v>132.18131066407076</c:v>
                </c:pt>
                <c:pt idx="17">
                  <c:v>129.71312373207496</c:v>
                </c:pt>
                <c:pt idx="18">
                  <c:v>130.58235650817832</c:v>
                </c:pt>
                <c:pt idx="19">
                  <c:v>139.82500144466846</c:v>
                </c:pt>
                <c:pt idx="20">
                  <c:v>160.38793901602872</c:v>
                </c:pt>
                <c:pt idx="21">
                  <c:v>163.55341959924681</c:v>
                </c:pt>
                <c:pt idx="22">
                  <c:v>159.59375417068136</c:v>
                </c:pt>
                <c:pt idx="23">
                  <c:v>152.36494100809898</c:v>
                </c:pt>
                <c:pt idx="24">
                  <c:v>169.32248910601481</c:v>
                </c:pt>
                <c:pt idx="25">
                  <c:v>206.15693066629041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D-4C04-8966-6DBDA0898BCD}"/>
            </c:ext>
          </c:extLst>
        </c:ser>
        <c:ser>
          <c:idx val="1"/>
          <c:order val="1"/>
          <c:tx>
            <c:strRef>
              <c:f>'VBP completo'!$A$29</c:f>
              <c:strCache>
                <c:ptCount val="1"/>
                <c:pt idx="0">
                  <c:v>Suínos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completo'!$M$29:$AL$29</c:f>
              <c:numCache>
                <c:formatCode>#,##0.00</c:formatCode>
                <c:ptCount val="26"/>
                <c:pt idx="0">
                  <c:v>11.009652215373315</c:v>
                </c:pt>
                <c:pt idx="1">
                  <c:v>13.208528415592978</c:v>
                </c:pt>
                <c:pt idx="2">
                  <c:v>13.537679571654744</c:v>
                </c:pt>
                <c:pt idx="3">
                  <c:v>14.468230473380761</c:v>
                </c:pt>
                <c:pt idx="4">
                  <c:v>16.266832198107725</c:v>
                </c:pt>
                <c:pt idx="5">
                  <c:v>18.859956534075611</c:v>
                </c:pt>
                <c:pt idx="6">
                  <c:v>16.590045733670493</c:v>
                </c:pt>
                <c:pt idx="7">
                  <c:v>17.739885312351728</c:v>
                </c:pt>
                <c:pt idx="8">
                  <c:v>21.005836702600799</c:v>
                </c:pt>
                <c:pt idx="9">
                  <c:v>21.233693535716366</c:v>
                </c:pt>
                <c:pt idx="10">
                  <c:v>23.359191823586986</c:v>
                </c:pt>
                <c:pt idx="11">
                  <c:v>23.395800638361504</c:v>
                </c:pt>
                <c:pt idx="12">
                  <c:v>21.967473727955959</c:v>
                </c:pt>
                <c:pt idx="13">
                  <c:v>25.435010652532331</c:v>
                </c:pt>
                <c:pt idx="14">
                  <c:v>26.714941734308944</c:v>
                </c:pt>
                <c:pt idx="15">
                  <c:v>28.549991151499764</c:v>
                </c:pt>
                <c:pt idx="16">
                  <c:v>26.347489507709732</c:v>
                </c:pt>
                <c:pt idx="17">
                  <c:v>39.276633260946177</c:v>
                </c:pt>
                <c:pt idx="18">
                  <c:v>31.250755614242347</c:v>
                </c:pt>
                <c:pt idx="19">
                  <c:v>38.686699430323642</c:v>
                </c:pt>
                <c:pt idx="20">
                  <c:v>52.011289148686778</c:v>
                </c:pt>
                <c:pt idx="21">
                  <c:v>48.319420131823499</c:v>
                </c:pt>
                <c:pt idx="22">
                  <c:v>42.16034587277089</c:v>
                </c:pt>
                <c:pt idx="23">
                  <c:v>48.23652735526931</c:v>
                </c:pt>
                <c:pt idx="24">
                  <c:v>56.220517673693685</c:v>
                </c:pt>
                <c:pt idx="25">
                  <c:v>58.793766415693852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AD-4C04-8966-6DBDA0898BCD}"/>
            </c:ext>
          </c:extLst>
        </c:ser>
        <c:ser>
          <c:idx val="2"/>
          <c:order val="2"/>
          <c:tx>
            <c:strRef>
              <c:f>'VBP completo'!$A$30</c:f>
              <c:strCache>
                <c:ptCount val="1"/>
                <c:pt idx="0">
                  <c:v>Frango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completo'!$M$30:$AL$30</c:f>
              <c:numCache>
                <c:formatCode>#,##0.00</c:formatCode>
                <c:ptCount val="26"/>
                <c:pt idx="0">
                  <c:v>30.372495762469971</c:v>
                </c:pt>
                <c:pt idx="1">
                  <c:v>31.697218130487492</c:v>
                </c:pt>
                <c:pt idx="2">
                  <c:v>35.99476003384445</c:v>
                </c:pt>
                <c:pt idx="3">
                  <c:v>40.97690772378472</c:v>
                </c:pt>
                <c:pt idx="4">
                  <c:v>43.538753699935022</c:v>
                </c:pt>
                <c:pt idx="5">
                  <c:v>51.531289441385503</c:v>
                </c:pt>
                <c:pt idx="6">
                  <c:v>47.144259274142563</c:v>
                </c:pt>
                <c:pt idx="7">
                  <c:v>63.473834816133675</c:v>
                </c:pt>
                <c:pt idx="8">
                  <c:v>71.515347691496657</c:v>
                </c:pt>
                <c:pt idx="9">
                  <c:v>68.361096284691513</c:v>
                </c:pt>
                <c:pt idx="10">
                  <c:v>67.132350044562898</c:v>
                </c:pt>
                <c:pt idx="11">
                  <c:v>72.209536336931905</c:v>
                </c:pt>
                <c:pt idx="12">
                  <c:v>72.718322682312106</c:v>
                </c:pt>
                <c:pt idx="13">
                  <c:v>80.675632424399296</c:v>
                </c:pt>
                <c:pt idx="14">
                  <c:v>78.198693657091539</c:v>
                </c:pt>
                <c:pt idx="15">
                  <c:v>83.239079911803969</c:v>
                </c:pt>
                <c:pt idx="16">
                  <c:v>84.955499393543235</c:v>
                </c:pt>
                <c:pt idx="17">
                  <c:v>77.271962178639583</c:v>
                </c:pt>
                <c:pt idx="18">
                  <c:v>76.821568783954433</c:v>
                </c:pt>
                <c:pt idx="19">
                  <c:v>89.525044546618247</c:v>
                </c:pt>
                <c:pt idx="20">
                  <c:v>88.303436548955077</c:v>
                </c:pt>
                <c:pt idx="21">
                  <c:v>103.05781444362998</c:v>
                </c:pt>
                <c:pt idx="22">
                  <c:v>100.44735724677085</c:v>
                </c:pt>
                <c:pt idx="23">
                  <c:v>97.059577027102236</c:v>
                </c:pt>
                <c:pt idx="24">
                  <c:v>106.0868548549186</c:v>
                </c:pt>
                <c:pt idx="25">
                  <c:v>113.00575888342001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AD-4C04-8966-6DBDA0898BCD}"/>
            </c:ext>
          </c:extLst>
        </c:ser>
        <c:ser>
          <c:idx val="3"/>
          <c:order val="3"/>
          <c:tx>
            <c:strRef>
              <c:f>'VBP completo'!$A$31</c:f>
              <c:strCache>
                <c:ptCount val="1"/>
                <c:pt idx="0">
                  <c:v>Leite</c:v>
                </c:pt>
              </c:strCache>
            </c:strRef>
          </c:tx>
          <c:spPr>
            <a:ln w="5080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triang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2.861423698555899E-2"/>
                  <c:y val="-2.195062155692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AD-4C04-8966-6DBDA0898BCD}"/>
                </c:ext>
              </c:extLst>
            </c:dLbl>
            <c:dLbl>
              <c:idx val="1"/>
              <c:layout>
                <c:manualLayout>
                  <c:x val="-2.692732740391256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AD-4C04-8966-6DBDA0898B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completo'!$M$31:$AL$31</c:f>
              <c:numCache>
                <c:formatCode>#,##0.00</c:formatCode>
                <c:ptCount val="26"/>
                <c:pt idx="0">
                  <c:v>24.017281232008042</c:v>
                </c:pt>
                <c:pt idx="1">
                  <c:v>23.1113800771519</c:v>
                </c:pt>
                <c:pt idx="2">
                  <c:v>23.402136518568856</c:v>
                </c:pt>
                <c:pt idx="3">
                  <c:v>25.77081064687302</c:v>
                </c:pt>
                <c:pt idx="4">
                  <c:v>26.339019978849347</c:v>
                </c:pt>
                <c:pt idx="5">
                  <c:v>29.623938571221615</c:v>
                </c:pt>
                <c:pt idx="6">
                  <c:v>28.295946287036074</c:v>
                </c:pt>
                <c:pt idx="7">
                  <c:v>34.7856286165608</c:v>
                </c:pt>
                <c:pt idx="8">
                  <c:v>39.131875407930977</c:v>
                </c:pt>
                <c:pt idx="9">
                  <c:v>39.895377442787698</c:v>
                </c:pt>
                <c:pt idx="10">
                  <c:v>44.058841848518824</c:v>
                </c:pt>
                <c:pt idx="11">
                  <c:v>45.419449783392317</c:v>
                </c:pt>
                <c:pt idx="12">
                  <c:v>47.461570105712134</c:v>
                </c:pt>
                <c:pt idx="13">
                  <c:v>54.922417695549044</c:v>
                </c:pt>
                <c:pt idx="14">
                  <c:v>59.308876215110089</c:v>
                </c:pt>
                <c:pt idx="15">
                  <c:v>53.536399099242082</c:v>
                </c:pt>
                <c:pt idx="16">
                  <c:v>49.675641978709479</c:v>
                </c:pt>
                <c:pt idx="17">
                  <c:v>55.348891372244765</c:v>
                </c:pt>
                <c:pt idx="18">
                  <c:v>54.526178978067037</c:v>
                </c:pt>
                <c:pt idx="19">
                  <c:v>54.020869795248046</c:v>
                </c:pt>
                <c:pt idx="20">
                  <c:v>55.540976510400128</c:v>
                </c:pt>
                <c:pt idx="21">
                  <c:v>55.602237824833971</c:v>
                </c:pt>
                <c:pt idx="22">
                  <c:v>60.706479563083484</c:v>
                </c:pt>
                <c:pt idx="23">
                  <c:v>68.264610367996994</c:v>
                </c:pt>
                <c:pt idx="24">
                  <c:v>67.877155815772653</c:v>
                </c:pt>
                <c:pt idx="25">
                  <c:v>69.342986179999997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AD-4C04-8966-6DBDA0898BCD}"/>
            </c:ext>
          </c:extLst>
        </c:ser>
        <c:ser>
          <c:idx val="4"/>
          <c:order val="4"/>
          <c:tx>
            <c:strRef>
              <c:f>'VBP completo'!$A$32</c:f>
              <c:strCache>
                <c:ptCount val="1"/>
                <c:pt idx="0">
                  <c:v>Ovos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561153793022834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AD-4C04-8966-6DBDA0898BCD}"/>
                </c:ext>
              </c:extLst>
            </c:dLbl>
            <c:dLbl>
              <c:idx val="1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AD-4C04-8966-6DBDA0898BCD}"/>
                </c:ext>
              </c:extLst>
            </c:dLbl>
            <c:dLbl>
              <c:idx val="2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AD-4C04-8966-6DBDA0898BCD}"/>
                </c:ext>
              </c:extLst>
            </c:dLbl>
            <c:dLbl>
              <c:idx val="3"/>
              <c:layout>
                <c:manualLayout>
                  <c:x val="-2.3924628348581934E-2"/>
                  <c:y val="3.1108130714429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8AD-4C04-8966-6DBDA0898BCD}"/>
                </c:ext>
              </c:extLst>
            </c:dLbl>
            <c:dLbl>
              <c:idx val="4"/>
              <c:layout>
                <c:manualLayout>
                  <c:x val="-3.0009918710900054E-2"/>
                  <c:y val="2.0887388054416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82185108634817E-2"/>
                      <c:h val="5.616626212810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8AD-4C04-8966-6DBDA0898BCD}"/>
                </c:ext>
              </c:extLst>
            </c:dLbl>
            <c:dLbl>
              <c:idx val="5"/>
              <c:layout>
                <c:manualLayout>
                  <c:x val="-2.561153793022841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8AD-4C04-8966-6DBDA0898BC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2025**</c:v>
                </c:pt>
              </c:strCache>
            </c:strRef>
          </c:cat>
          <c:val>
            <c:numRef>
              <c:f>'VBP completo'!$M$32:$AL$32</c:f>
              <c:numCache>
                <c:formatCode>#,##0.00</c:formatCode>
                <c:ptCount val="26"/>
                <c:pt idx="0">
                  <c:v>9.3906077126151182</c:v>
                </c:pt>
                <c:pt idx="1">
                  <c:v>9.2536723501535825</c:v>
                </c:pt>
                <c:pt idx="2">
                  <c:v>9.533861668422384</c:v>
                </c:pt>
                <c:pt idx="3">
                  <c:v>11.53233743540809</c:v>
                </c:pt>
                <c:pt idx="4">
                  <c:v>11.688156685972443</c:v>
                </c:pt>
                <c:pt idx="5">
                  <c:v>11.76761343246725</c:v>
                </c:pt>
                <c:pt idx="6">
                  <c:v>11.178043669959779</c:v>
                </c:pt>
                <c:pt idx="7">
                  <c:v>11.879899712588221</c:v>
                </c:pt>
                <c:pt idx="8">
                  <c:v>12.824092400349212</c:v>
                </c:pt>
                <c:pt idx="9">
                  <c:v>12.792557981757289</c:v>
                </c:pt>
                <c:pt idx="10">
                  <c:v>12.44221507446667</c:v>
                </c:pt>
                <c:pt idx="11">
                  <c:v>14.661141448361672</c:v>
                </c:pt>
                <c:pt idx="12">
                  <c:v>17.186448767374387</c:v>
                </c:pt>
                <c:pt idx="13">
                  <c:v>20.213482800469702</c:v>
                </c:pt>
                <c:pt idx="14">
                  <c:v>22.710640678628703</c:v>
                </c:pt>
                <c:pt idx="15">
                  <c:v>23.123388795003656</c:v>
                </c:pt>
                <c:pt idx="16">
                  <c:v>24.929225463414635</c:v>
                </c:pt>
                <c:pt idx="17">
                  <c:v>20.54368500045419</c:v>
                </c:pt>
                <c:pt idx="18">
                  <c:v>18.687658329067844</c:v>
                </c:pt>
                <c:pt idx="19">
                  <c:v>18.923571907810437</c:v>
                </c:pt>
                <c:pt idx="20">
                  <c:v>20.781850166854472</c:v>
                </c:pt>
                <c:pt idx="21">
                  <c:v>19.474734972925209</c:v>
                </c:pt>
                <c:pt idx="22">
                  <c:v>21.607835191488189</c:v>
                </c:pt>
                <c:pt idx="23">
                  <c:v>26.62548585721186</c:v>
                </c:pt>
                <c:pt idx="24">
                  <c:v>26.201310665117216</c:v>
                </c:pt>
                <c:pt idx="25">
                  <c:v>24.726222813214282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AD-4C04-8966-6DBDA0898B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4328"/>
        <c:axId val="923820376"/>
      </c:lineChart>
      <c:catAx>
        <c:axId val="92891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5.2369377410819602E-2"/>
              <c:y val="0.93444405987713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3820376"/>
        <c:crosses val="autoZero"/>
        <c:auto val="1"/>
        <c:lblAlgn val="ctr"/>
        <c:lblOffset val="100"/>
        <c:noMultiLvlLbl val="0"/>
      </c:catAx>
      <c:valAx>
        <c:axId val="923820376"/>
        <c:scaling>
          <c:orientation val="minMax"/>
          <c:max val="25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495962043206135E-2"/>
          <c:y val="0.15796660032880505"/>
          <c:w val="0.52955585131818039"/>
          <c:h val="7.0680107294280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cap="all" baseline="0">
                <a:effectLst/>
              </a:rPr>
              <a:t>Indice do Produto de Lavouras</a:t>
            </a:r>
            <a:endParaRPr lang="pt-BR" sz="1600">
              <a:effectLst/>
            </a:endParaRPr>
          </a:p>
        </c:rich>
      </c:tx>
      <c:layout>
        <c:manualLayout>
          <c:xMode val="edge"/>
          <c:yMode val="edge"/>
          <c:x val="0.18260976207996077"/>
          <c:y val="5.789909015715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219076092309653"/>
          <c:y val="0.17359404205987899"/>
          <c:w val="0.84082861606979042"/>
          <c:h val="0.61361345030382364"/>
        </c:manualLayout>
      </c:layout>
      <c:lineChart>
        <c:grouping val="standard"/>
        <c:varyColors val="0"/>
        <c:ser>
          <c:idx val="0"/>
          <c:order val="0"/>
          <c:tx>
            <c:strRef>
              <c:f>Laspeyres!$B$4</c:f>
              <c:strCache>
                <c:ptCount val="1"/>
                <c:pt idx="0">
                  <c:v>Indice de Prod. base 1990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2206423976252426E-2"/>
                  <c:y val="-5.9243013357821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0C-45E2-8314-33FD04B4CE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0C-45E2-8314-33FD04B4CE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0C-45E2-8314-33FD04B4CE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0C-45E2-8314-33FD04B4CE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0C-45E2-8314-33FD04B4CE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0C-45E2-8314-33FD04B4CE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0C-45E2-8314-33FD04B4CE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0C-45E2-8314-33FD04B4CE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0C-45E2-8314-33FD04B4CEF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0C-45E2-8314-33FD04B4CE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0C-45E2-8314-33FD04B4CEF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0C-45E2-8314-33FD04B4CEF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70C-45E2-8314-33FD04B4CEF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0C-45E2-8314-33FD04B4CEF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0C-45E2-8314-33FD04B4CE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0C-45E2-8314-33FD04B4CEF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0C-45E2-8314-33FD04B4CE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0C-45E2-8314-33FD04B4CEF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0C-45E2-8314-33FD04B4CE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0C-45E2-8314-33FD04B4CEF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0C-45E2-8314-33FD04B4CEF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0C-45E2-8314-33FD04B4CEF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0C-45E2-8314-33FD04B4CEF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0C-45E2-8314-33FD04B4CEF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0C-45E2-8314-33FD04B4CEF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70C-45E2-8314-33FD04B4CEF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0C-45E2-8314-33FD04B4CEF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70C-45E2-8314-33FD04B4CEF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C-4338-BF65-7805A681C6F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21-4DEE-868E-379CC6E241DD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04-491D-BBF4-2AB38BB99F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04-491D-BBF4-2AB38BB99F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8-4CAA-8FFC-D699DE7987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18-4CAA-8FFC-D699DE7987CA}"/>
                </c:ext>
              </c:extLst>
            </c:dLbl>
            <c:dLbl>
              <c:idx val="34"/>
              <c:layout>
                <c:manualLayout>
                  <c:x val="-5.0374346547539346E-3"/>
                  <c:y val="-6.13531149262589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B6-4233-91C4-7A82EFE0634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Laspeyres!$A$5:$A$39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Laspeyres!$B$5:$B$39</c:f>
              <c:numCache>
                <c:formatCode>#,##0.00</c:formatCode>
                <c:ptCount val="35"/>
                <c:pt idx="0">
                  <c:v>100</c:v>
                </c:pt>
                <c:pt idx="1">
                  <c:v>100.27530507723812</c:v>
                </c:pt>
                <c:pt idx="2">
                  <c:v>106.20337614689583</c:v>
                </c:pt>
                <c:pt idx="3">
                  <c:v>104.57013107177708</c:v>
                </c:pt>
                <c:pt idx="4">
                  <c:v>114.16378114998278</c:v>
                </c:pt>
                <c:pt idx="5">
                  <c:v>115.0243365219558</c:v>
                </c:pt>
                <c:pt idx="6">
                  <c:v>106.55186735424465</c:v>
                </c:pt>
                <c:pt idx="7">
                  <c:v>114.03726174297621</c:v>
                </c:pt>
                <c:pt idx="8">
                  <c:v>117.31915303619954</c:v>
                </c:pt>
                <c:pt idx="9">
                  <c:v>124.73428473228039</c:v>
                </c:pt>
                <c:pt idx="10">
                  <c:v>128.2930427050309</c:v>
                </c:pt>
                <c:pt idx="11">
                  <c:v>136.97467822597082</c:v>
                </c:pt>
                <c:pt idx="12">
                  <c:v>139.51013982605832</c:v>
                </c:pt>
                <c:pt idx="13">
                  <c:v>153.86772745036896</c:v>
                </c:pt>
                <c:pt idx="14">
                  <c:v>159.64137908018984</c:v>
                </c:pt>
                <c:pt idx="15">
                  <c:v>157.13592812127436</c:v>
                </c:pt>
                <c:pt idx="16">
                  <c:v>164.85795860548876</c:v>
                </c:pt>
                <c:pt idx="17">
                  <c:v>180.78064006776765</c:v>
                </c:pt>
                <c:pt idx="18">
                  <c:v>196.90957977720942</c:v>
                </c:pt>
                <c:pt idx="19">
                  <c:v>190.30947676981953</c:v>
                </c:pt>
                <c:pt idx="20">
                  <c:v>203.58132140625628</c:v>
                </c:pt>
                <c:pt idx="21">
                  <c:v>217.04060018402259</c:v>
                </c:pt>
                <c:pt idx="22">
                  <c:v>210.93205316011404</c:v>
                </c:pt>
                <c:pt idx="23">
                  <c:v>228.00911847668428</c:v>
                </c:pt>
                <c:pt idx="24">
                  <c:v>232.56171197227314</c:v>
                </c:pt>
                <c:pt idx="25">
                  <c:v>242.31800918291268</c:v>
                </c:pt>
                <c:pt idx="26">
                  <c:v>228.23864268484809</c:v>
                </c:pt>
                <c:pt idx="27">
                  <c:v>253.8258521235316</c:v>
                </c:pt>
                <c:pt idx="28">
                  <c:v>245.13449547955108</c:v>
                </c:pt>
                <c:pt idx="29">
                  <c:v>248.61895382494558</c:v>
                </c:pt>
                <c:pt idx="30">
                  <c:v>258.84777688038417</c:v>
                </c:pt>
                <c:pt idx="31">
                  <c:v>254.98782385273259</c:v>
                </c:pt>
                <c:pt idx="32">
                  <c:v>256.90396455429726</c:v>
                </c:pt>
                <c:pt idx="33">
                  <c:v>298.26925574804238</c:v>
                </c:pt>
                <c:pt idx="34">
                  <c:v>285.7998313549823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0C-45E2-8314-33FD04B4CE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23821552"/>
        <c:axId val="923819200"/>
      </c:lineChart>
      <c:catAx>
        <c:axId val="9238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Fonte:  IBGE. Elaboração: CGPOP/DAEP/SPA/MAPA.</a:t>
                </a:r>
                <a:endParaRPr lang="pt-BR" sz="1000" b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10462861568352522"/>
              <c:y val="0.9214226633581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19200"/>
        <c:crosses val="autoZero"/>
        <c:auto val="1"/>
        <c:lblAlgn val="ctr"/>
        <c:lblOffset val="100"/>
        <c:tickLblSkip val="1"/>
        <c:noMultiLvlLbl val="0"/>
      </c:catAx>
      <c:valAx>
        <c:axId val="92381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</a:p>
            </c:rich>
          </c:tx>
          <c:layout>
            <c:manualLayout>
              <c:xMode val="edge"/>
              <c:yMode val="edge"/>
              <c:x val="2.0554329163600685E-2"/>
              <c:y val="0.45856437610311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b="1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120297462817132E-2"/>
          <c:y val="0.13736012775659784"/>
          <c:w val="0.8962055789537936"/>
          <c:h val="0.70642235371223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'VBP completo'!$AK$3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completo'!$AK$27,'VBP completo'!$AK$33:$AK$34)</c:f>
              <c:numCache>
                <c:formatCode>#,##0.00</c:formatCode>
                <c:ptCount val="3"/>
                <c:pt idx="0">
                  <c:v>848.03075836437336</c:v>
                </c:pt>
                <c:pt idx="1">
                  <c:v>425.70832811551696</c:v>
                </c:pt>
                <c:pt idx="2">
                  <c:v>1273.7390864798904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B7-45B6-A473-822D44588A34}"/>
            </c:ext>
          </c:extLst>
        </c:ser>
        <c:ser>
          <c:idx val="1"/>
          <c:order val="1"/>
          <c:tx>
            <c:strRef>
              <c:f>'VBP completo'!$AL$3</c:f>
              <c:strCache>
                <c:ptCount val="1"/>
                <c:pt idx="0">
                  <c:v>2025**</c:v>
                </c:pt>
              </c:strCache>
            </c:strRef>
          </c:tx>
          <c:spPr>
            <a:pattFill prst="dkDn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completo'!$AL$27,'VBP completo'!$AL$33:$AL$34)</c:f>
              <c:numCache>
                <c:formatCode>#,##0.00</c:formatCode>
                <c:ptCount val="3"/>
                <c:pt idx="0">
                  <c:v>941.55410940243632</c:v>
                </c:pt>
                <c:pt idx="1">
                  <c:v>472.02566495861851</c:v>
                </c:pt>
                <c:pt idx="2">
                  <c:v>1413.5797743610549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737294008"/>
        <c:axId val="737293680"/>
      </c:barChart>
      <c:lineChart>
        <c:grouping val="standard"/>
        <c:varyColors val="0"/>
        <c:ser>
          <c:idx val="2"/>
          <c:order val="2"/>
          <c:tx>
            <c:strRef>
              <c:f>'VBP completo'!$AO$3</c:f>
              <c:strCache>
                <c:ptCount val="1"/>
                <c:pt idx="0">
                  <c:v>% 2025/2024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8735078365431121E-2"/>
                  <c:y val="-0.529894490035170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4E-435F-AC37-0A744D1F6B44}"/>
                </c:ext>
              </c:extLst>
            </c:dLbl>
            <c:dLbl>
              <c:idx val="1"/>
              <c:layout>
                <c:manualLayout>
                  <c:x val="-6.300715516831186E-2"/>
                  <c:y val="-0.342321219226260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E-435F-AC37-0A744D1F6B44}"/>
                </c:ext>
              </c:extLst>
            </c:dLbl>
            <c:dLbl>
              <c:idx val="2"/>
              <c:layout>
                <c:manualLayout>
                  <c:x val="-9.7374694351027427E-2"/>
                  <c:y val="-0.656506447831184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4E-435F-AC37-0A744D1F6B44}"/>
                </c:ext>
              </c:extLst>
            </c:dLbl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completo'!$AO$27,'VBP completo'!$AO$33:$AO$34)</c:f>
              <c:numCache>
                <c:formatCode>0.0%</c:formatCode>
                <c:ptCount val="3"/>
                <c:pt idx="0">
                  <c:v>0.11028297041777679</c:v>
                </c:pt>
                <c:pt idx="1">
                  <c:v>0.10880063598505219</c:v>
                </c:pt>
                <c:pt idx="2">
                  <c:v>0.10978754547576042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6206048"/>
        <c:axId val="1086210640"/>
      </c:lineChart>
      <c:catAx>
        <c:axId val="737294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sz="800" b="0" i="0" u="none" strike="noStrike" baseline="0">
                    <a:effectLst/>
                  </a:rPr>
                  <a:t>Fonte: </a:t>
                </a:r>
                <a:r>
                  <a:rPr lang="pt-BR" sz="800" b="0" i="0" u="none" strike="noStrike" baseline="0">
                    <a:effectLst/>
                  </a:rPr>
                  <a:t>: CGPOP/DAEP/SPA/MAPA</a:t>
                </a:r>
              </a:p>
            </c:rich>
          </c:tx>
          <c:layout>
            <c:manualLayout>
              <c:xMode val="edge"/>
              <c:yMode val="edge"/>
              <c:x val="8.4768362739906969E-2"/>
              <c:y val="0.922617273511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37293680"/>
        <c:crosses val="autoZero"/>
        <c:auto val="1"/>
        <c:lblAlgn val="ctr"/>
        <c:lblOffset val="100"/>
        <c:noMultiLvlLbl val="0"/>
      </c:catAx>
      <c:valAx>
        <c:axId val="737293680"/>
        <c:scaling>
          <c:orientation val="minMax"/>
          <c:max val="18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layout>
            <c:manualLayout>
              <c:xMode val="edge"/>
              <c:yMode val="edge"/>
              <c:x val="1.8604651162790697E-2"/>
              <c:y val="0.31986605122635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737294008"/>
        <c:crosses val="autoZero"/>
        <c:crossBetween val="between"/>
      </c:valAx>
      <c:valAx>
        <c:axId val="1086210640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1086206048"/>
        <c:crosses val="max"/>
        <c:crossBetween val="between"/>
      </c:valAx>
      <c:catAx>
        <c:axId val="10862060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862106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84076990376203"/>
          <c:y val="0.12222583001867035"/>
          <c:w val="0.52848098638832941"/>
          <c:h val="9.118894620931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VBP completo'!A1"/><Relationship Id="rId7" Type="http://schemas.openxmlformats.org/officeDocument/2006/relationships/hyperlink" Target="#Varia&#231;&#227;o!A1"/><Relationship Id="rId2" Type="http://schemas.openxmlformats.org/officeDocument/2006/relationships/hyperlink" Target="#VBP!A1"/><Relationship Id="rId1" Type="http://schemas.openxmlformats.org/officeDocument/2006/relationships/image" Target="../media/image1.jpeg"/><Relationship Id="rId6" Type="http://schemas.openxmlformats.org/officeDocument/2006/relationships/hyperlink" Target="#Laspeyres!A1"/><Relationship Id="rId5" Type="http://schemas.openxmlformats.org/officeDocument/2006/relationships/hyperlink" Target="#'VBP Completo Nominal'!A1"/><Relationship Id="rId4" Type="http://schemas.openxmlformats.org/officeDocument/2006/relationships/hyperlink" Target="#'Ranking 2025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PA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379095</xdr:colOff>
      <xdr:row>6</xdr:row>
      <xdr:rowOff>36195</xdr:rowOff>
    </xdr:from>
    <xdr:to>
      <xdr:col>3</xdr:col>
      <xdr:colOff>493395</xdr:colOff>
      <xdr:row>7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8695" y="1483995"/>
          <a:ext cx="1333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b="1"/>
            <a:t>mês/2020</a:t>
          </a:r>
        </a:p>
      </xdr:txBody>
    </xdr:sp>
    <xdr:clientData/>
  </xdr:twoCellAnchor>
  <xdr:twoCellAnchor>
    <xdr:from>
      <xdr:col>0</xdr:col>
      <xdr:colOff>409576</xdr:colOff>
      <xdr:row>1</xdr:row>
      <xdr:rowOff>123826</xdr:rowOff>
    </xdr:from>
    <xdr:to>
      <xdr:col>10</xdr:col>
      <xdr:colOff>561976</xdr:colOff>
      <xdr:row>26</xdr:row>
      <xdr:rowOff>19051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576" y="666751"/>
          <a:ext cx="6248400" cy="4419600"/>
        </a:xfrm>
        <a:prstGeom prst="rect">
          <a:avLst/>
        </a:prstGeom>
        <a:gradFill flip="none" rotWithShape="1"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rgbClr val="001848"/>
              </a:solidFill>
            </a:ln>
          </a:endParaRPr>
        </a:p>
      </xdr:txBody>
    </xdr:sp>
    <xdr:clientData/>
  </xdr:twoCellAnchor>
  <xdr:twoCellAnchor editAs="oneCell">
    <xdr:from>
      <xdr:col>0</xdr:col>
      <xdr:colOff>546758</xdr:colOff>
      <xdr:row>2</xdr:row>
      <xdr:rowOff>107022</xdr:rowOff>
    </xdr:from>
    <xdr:to>
      <xdr:col>10</xdr:col>
      <xdr:colOff>420794</xdr:colOff>
      <xdr:row>25</xdr:row>
      <xdr:rowOff>19050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58" y="830922"/>
          <a:ext cx="5970036" cy="4074453"/>
        </a:xfrm>
        <a:prstGeom prst="rect">
          <a:avLst/>
        </a:prstGeom>
      </xdr:spPr>
    </xdr:pic>
    <xdr:clientData/>
  </xdr:twoCellAnchor>
  <xdr:twoCellAnchor>
    <xdr:from>
      <xdr:col>1</xdr:col>
      <xdr:colOff>426827</xdr:colOff>
      <xdr:row>7</xdr:row>
      <xdr:rowOff>74573</xdr:rowOff>
    </xdr:from>
    <xdr:to>
      <xdr:col>3</xdr:col>
      <xdr:colOff>541127</xdr:colOff>
      <xdr:row>8</xdr:row>
      <xdr:rowOff>179348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36427" y="1703348"/>
          <a:ext cx="1333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Janeiro/2025</a:t>
          </a:r>
        </a:p>
      </xdr:txBody>
    </xdr:sp>
    <xdr:clientData/>
  </xdr:twoCellAnchor>
  <xdr:twoCellAnchor>
    <xdr:from>
      <xdr:col>11</xdr:col>
      <xdr:colOff>318359</xdr:colOff>
      <xdr:row>7</xdr:row>
      <xdr:rowOff>17145</xdr:rowOff>
    </xdr:from>
    <xdr:to>
      <xdr:col>14</xdr:col>
      <xdr:colOff>64757</xdr:colOff>
      <xdr:row>9</xdr:row>
      <xdr:rowOff>26670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023959" y="1283970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VBP Brasil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7</xdr:row>
      <xdr:rowOff>12382</xdr:rowOff>
    </xdr:from>
    <xdr:to>
      <xdr:col>17</xdr:col>
      <xdr:colOff>322330</xdr:colOff>
      <xdr:row>9</xdr:row>
      <xdr:rowOff>31432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442787" y="1279207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Real</a:t>
          </a:r>
        </a:p>
      </xdr:txBody>
    </xdr:sp>
    <xdr:clientData/>
  </xdr:twoCellAnchor>
  <xdr:twoCellAnchor>
    <xdr:from>
      <xdr:col>13</xdr:col>
      <xdr:colOff>424921</xdr:colOff>
      <xdr:row>15</xdr:row>
      <xdr:rowOff>66675</xdr:rowOff>
    </xdr:from>
    <xdr:to>
      <xdr:col>15</xdr:col>
      <xdr:colOff>491596</xdr:colOff>
      <xdr:row>17</xdr:row>
      <xdr:rowOff>71350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083021" y="2781300"/>
          <a:ext cx="1285875" cy="366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Ranking </a:t>
          </a:r>
        </a:p>
      </xdr:txBody>
    </xdr:sp>
    <xdr:clientData/>
  </xdr:twoCellAnchor>
  <xdr:twoCellAnchor>
    <xdr:from>
      <xdr:col>11</xdr:col>
      <xdr:colOff>211667</xdr:colOff>
      <xdr:row>3</xdr:row>
      <xdr:rowOff>69849</xdr:rowOff>
    </xdr:from>
    <xdr:to>
      <xdr:col>17</xdr:col>
      <xdr:colOff>276225</xdr:colOff>
      <xdr:row>5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17267" y="612774"/>
          <a:ext cx="3455458" cy="444501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VBP BRASIL - Selecione</a:t>
          </a:r>
          <a:endParaRPr lang="pt-BR" sz="18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200025</xdr:colOff>
      <xdr:row>12</xdr:row>
      <xdr:rowOff>108903</xdr:rowOff>
    </xdr:from>
    <xdr:to>
      <xdr:col>17</xdr:col>
      <xdr:colOff>112780</xdr:colOff>
      <xdr:row>14</xdr:row>
      <xdr:rowOff>127953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248525" y="2280603"/>
          <a:ext cx="2960755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Nominal </a:t>
          </a:r>
        </a:p>
      </xdr:txBody>
    </xdr:sp>
    <xdr:clientData/>
  </xdr:twoCellAnchor>
  <xdr:twoCellAnchor>
    <xdr:from>
      <xdr:col>11</xdr:col>
      <xdr:colOff>318359</xdr:colOff>
      <xdr:row>9</xdr:row>
      <xdr:rowOff>153512</xdr:rowOff>
    </xdr:from>
    <xdr:to>
      <xdr:col>14</xdr:col>
      <xdr:colOff>64757</xdr:colOff>
      <xdr:row>11</xdr:row>
      <xdr:rowOff>163037</xdr:rowOff>
    </xdr:to>
    <xdr:sp macro="" textlink="">
      <xdr:nvSpPr>
        <xdr:cNvPr id="19" name="Retângulo: Cantos Arredondados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023959" y="1782287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Laspeyres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9</xdr:row>
      <xdr:rowOff>151130</xdr:rowOff>
    </xdr:from>
    <xdr:to>
      <xdr:col>17</xdr:col>
      <xdr:colOff>322330</xdr:colOff>
      <xdr:row>11</xdr:row>
      <xdr:rowOff>170180</xdr:rowOff>
    </xdr:to>
    <xdr:sp macro="" textlink="">
      <xdr:nvSpPr>
        <xdr:cNvPr id="20" name="Retângulo: Cantos Arredondados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442787" y="1779905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Variação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183356</xdr:colOff>
      <xdr:row>2</xdr:row>
      <xdr:rowOff>447674</xdr:rowOff>
    </xdr:from>
    <xdr:to>
      <xdr:col>21</xdr:col>
      <xdr:colOff>304800</xdr:colOff>
      <xdr:row>14</xdr:row>
      <xdr:rowOff>171450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217170</xdr:colOff>
      <xdr:row>15</xdr:row>
      <xdr:rowOff>106680</xdr:rowOff>
    </xdr:from>
    <xdr:to>
      <xdr:col>21</xdr:col>
      <xdr:colOff>323850</xdr:colOff>
      <xdr:row>27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1279070</xdr:colOff>
      <xdr:row>2</xdr:row>
      <xdr:rowOff>40822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0"/>
          <a:ext cx="1279070" cy="482782"/>
          <a:chOff x="0" y="0"/>
          <a:chExt cx="1583530" cy="432820"/>
        </a:xfrm>
      </xdr:grpSpPr>
      <xdr:sp macro="" textlink="">
        <xdr:nvSpPr>
          <xdr:cNvPr id="10" name="Seta: para a Esquerda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0</xdr:rowOff>
    </xdr:from>
    <xdr:to>
      <xdr:col>0</xdr:col>
      <xdr:colOff>1306284</xdr:colOff>
      <xdr:row>2</xdr:row>
      <xdr:rowOff>13607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27214" y="0"/>
          <a:ext cx="1279070" cy="501287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3</xdr:row>
      <xdr:rowOff>7620</xdr:rowOff>
    </xdr:from>
    <xdr:to>
      <xdr:col>11</xdr:col>
      <xdr:colOff>493395</xdr:colOff>
      <xdr:row>15</xdr:row>
      <xdr:rowOff>200025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517072</xdr:colOff>
      <xdr:row>0</xdr:row>
      <xdr:rowOff>81642</xdr:rowOff>
    </xdr:from>
    <xdr:to>
      <xdr:col>7</xdr:col>
      <xdr:colOff>503464</xdr:colOff>
      <xdr:row>2</xdr:row>
      <xdr:rowOff>204106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4875712" y="81642"/>
          <a:ext cx="1205592" cy="579664"/>
          <a:chOff x="0" y="0"/>
          <a:chExt cx="1583530" cy="432820"/>
        </a:xfrm>
      </xdr:grpSpPr>
      <xdr:sp macro="" textlink="">
        <xdr:nvSpPr>
          <xdr:cNvPr id="4" name="Seta: para a Esquerda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5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5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1279071</xdr:colOff>
      <xdr:row>2</xdr:row>
      <xdr:rowOff>13607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1279071" cy="455567"/>
          <a:chOff x="0" y="0"/>
          <a:chExt cx="1583530" cy="432820"/>
        </a:xfrm>
      </xdr:grpSpPr>
      <xdr:sp macro="" textlink="">
        <xdr:nvSpPr>
          <xdr:cNvPr id="3" name="Seta: para a Esquerda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rgbClr val="EA813A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rgbClr val="EA813A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54429</xdr:colOff>
      <xdr:row>0</xdr:row>
      <xdr:rowOff>40822</xdr:rowOff>
    </xdr:from>
    <xdr:to>
      <xdr:col>0</xdr:col>
      <xdr:colOff>1333499</xdr:colOff>
      <xdr:row>1</xdr:row>
      <xdr:rowOff>204108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54429" y="40822"/>
          <a:ext cx="1279070" cy="445226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419099</xdr:colOff>
      <xdr:row>14</xdr:row>
      <xdr:rowOff>228599</xdr:rowOff>
    </xdr:from>
    <xdr:to>
      <xdr:col>9</xdr:col>
      <xdr:colOff>419099</xdr:colOff>
      <xdr:row>26</xdr:row>
      <xdr:rowOff>142874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587830</xdr:colOff>
      <xdr:row>0</xdr:row>
      <xdr:rowOff>0</xdr:rowOff>
    </xdr:from>
    <xdr:to>
      <xdr:col>7</xdr:col>
      <xdr:colOff>0</xdr:colOff>
      <xdr:row>2</xdr:row>
      <xdr:rowOff>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5434150" y="0"/>
          <a:ext cx="1500050" cy="457200"/>
          <a:chOff x="0" y="0"/>
          <a:chExt cx="1583530" cy="432820"/>
        </a:xfrm>
      </xdr:grpSpPr>
      <xdr:sp macro="" textlink="">
        <xdr:nvSpPr>
          <xdr:cNvPr id="9" name="Seta: para a Esquerda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Normal="100" workbookViewId="0">
      <selection activeCell="U12" sqref="U12"/>
    </sheetView>
  </sheetViews>
  <sheetFormatPr defaultColWidth="9.109375" defaultRowHeight="15" x14ac:dyDescent="0.35"/>
  <cols>
    <col min="1" max="11" width="9.109375" style="125"/>
    <col min="12" max="12" width="5.109375" style="125" customWidth="1"/>
    <col min="13" max="16384" width="9.109375" style="125"/>
  </cols>
  <sheetData>
    <row r="1" spans="1:1" x14ac:dyDescent="0.35">
      <c r="A1" s="125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0"/>
  <sheetViews>
    <sheetView showGridLines="0" zoomScaleNormal="100" workbookViewId="0">
      <selection activeCell="B3" sqref="B3"/>
    </sheetView>
  </sheetViews>
  <sheetFormatPr defaultColWidth="8.88671875" defaultRowHeight="19.2" x14ac:dyDescent="0.45"/>
  <cols>
    <col min="1" max="1" width="22" style="3" bestFit="1" customWidth="1"/>
    <col min="2" max="6" width="20.77734375" style="3" bestFit="1" customWidth="1"/>
    <col min="7" max="8" width="12.6640625" style="3" bestFit="1" customWidth="1"/>
    <col min="9" max="9" width="9.6640625" style="3" bestFit="1" customWidth="1"/>
    <col min="10" max="16384" width="8.88671875" style="3"/>
  </cols>
  <sheetData>
    <row r="1" spans="1:22" ht="15.6" customHeight="1" x14ac:dyDescent="0.45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22" x14ac:dyDescent="0.45">
      <c r="A2" s="4" t="s">
        <v>2</v>
      </c>
      <c r="B2" s="4"/>
      <c r="C2" s="4"/>
      <c r="D2" s="4"/>
      <c r="E2" s="5"/>
      <c r="F2" s="5"/>
      <c r="G2" s="5"/>
      <c r="H2" s="5"/>
      <c r="I2" s="5"/>
    </row>
    <row r="3" spans="1:22" ht="39" thickBot="1" x14ac:dyDescent="0.5">
      <c r="A3" s="6" t="s">
        <v>3</v>
      </c>
      <c r="B3" s="7">
        <v>2021</v>
      </c>
      <c r="C3" s="7">
        <v>2022</v>
      </c>
      <c r="D3" s="7">
        <v>2023</v>
      </c>
      <c r="E3" s="7">
        <v>2024</v>
      </c>
      <c r="F3" s="7" t="s">
        <v>127</v>
      </c>
      <c r="G3" s="8" t="s">
        <v>5</v>
      </c>
      <c r="H3" s="8" t="s">
        <v>123</v>
      </c>
      <c r="I3" s="9" t="s">
        <v>6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21" customHeight="1" thickTop="1" x14ac:dyDescent="0.45">
      <c r="A4" s="11" t="s">
        <v>7</v>
      </c>
      <c r="B4" s="12">
        <v>29997474876.022148</v>
      </c>
      <c r="C4" s="12">
        <v>35793719215.642509</v>
      </c>
      <c r="D4" s="12">
        <v>32510352549.604481</v>
      </c>
      <c r="E4" s="12">
        <v>34395459192.971542</v>
      </c>
      <c r="F4" s="12">
        <v>34275340952.380955</v>
      </c>
      <c r="G4" s="13">
        <v>5.7984810853427549</v>
      </c>
      <c r="H4" s="13">
        <v>-0.34922702998869681</v>
      </c>
      <c r="I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21" customHeight="1" x14ac:dyDescent="0.45">
      <c r="A5" s="16" t="s">
        <v>8</v>
      </c>
      <c r="B5" s="17">
        <v>3126001342.8688807</v>
      </c>
      <c r="C5" s="17">
        <v>3676107588.9089217</v>
      </c>
      <c r="D5" s="17">
        <v>4681395548.3363037</v>
      </c>
      <c r="E5" s="17">
        <v>4415865622.0235548</v>
      </c>
      <c r="F5" s="17">
        <v>5468265594.666667</v>
      </c>
      <c r="G5" s="18">
        <v>-5.6720250098736935</v>
      </c>
      <c r="H5" s="18">
        <v>23.832246330015217</v>
      </c>
      <c r="I5" s="19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1" customHeight="1" x14ac:dyDescent="0.45">
      <c r="A6" s="11" t="s">
        <v>9</v>
      </c>
      <c r="B6" s="12">
        <v>21845639018.260609</v>
      </c>
      <c r="C6" s="12">
        <v>17525555884.24765</v>
      </c>
      <c r="D6" s="12">
        <v>21717309092.69191</v>
      </c>
      <c r="E6" s="12">
        <v>25178295624.177536</v>
      </c>
      <c r="F6" s="12">
        <v>23373660350.305882</v>
      </c>
      <c r="G6" s="13">
        <v>15.936534847451632</v>
      </c>
      <c r="H6" s="13">
        <v>-7.1674242800563004</v>
      </c>
      <c r="I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" customHeight="1" x14ac:dyDescent="0.45">
      <c r="A7" s="16" t="s">
        <v>10</v>
      </c>
      <c r="B7" s="17">
        <v>13655489110.680082</v>
      </c>
      <c r="C7" s="17">
        <v>16322650864.393911</v>
      </c>
      <c r="D7" s="17">
        <v>18755871610.557507</v>
      </c>
      <c r="E7" s="17">
        <v>22391807765.254261</v>
      </c>
      <c r="F7" s="17">
        <v>20375524558.376404</v>
      </c>
      <c r="G7" s="18">
        <v>19.385588844882683</v>
      </c>
      <c r="H7" s="18">
        <v>-9.0045575061007632</v>
      </c>
      <c r="I7" s="1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" customHeight="1" x14ac:dyDescent="0.45">
      <c r="A8" s="11" t="s">
        <v>11</v>
      </c>
      <c r="B8" s="12">
        <v>9531062343.4620609</v>
      </c>
      <c r="C8" s="12">
        <v>11653007353.142281</v>
      </c>
      <c r="D8" s="12">
        <v>11500890743.95569</v>
      </c>
      <c r="E8" s="12">
        <v>16080057525.508556</v>
      </c>
      <c r="F8" s="12">
        <v>6247585355.999999</v>
      </c>
      <c r="G8" s="13">
        <v>39.815757609552584</v>
      </c>
      <c r="H8" s="13">
        <v>-61.146996233756255</v>
      </c>
      <c r="I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21" customHeight="1" x14ac:dyDescent="0.45">
      <c r="A9" s="16" t="s">
        <v>12</v>
      </c>
      <c r="B9" s="17">
        <v>4602247383.2634764</v>
      </c>
      <c r="C9" s="17">
        <v>3400457117.563477</v>
      </c>
      <c r="D9" s="17">
        <v>4395520348.7410049</v>
      </c>
      <c r="E9" s="17">
        <v>11181031633.483109</v>
      </c>
      <c r="F9" s="17">
        <v>13981548927.133335</v>
      </c>
      <c r="G9" s="18">
        <v>154.37333344812424</v>
      </c>
      <c r="H9" s="18">
        <v>25.047038461671999</v>
      </c>
      <c r="I9" s="1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1" customHeight="1" x14ac:dyDescent="0.45">
      <c r="A10" s="11" t="s">
        <v>13</v>
      </c>
      <c r="B10" s="12">
        <v>46284421218.38562</v>
      </c>
      <c r="C10" s="12">
        <v>57822105942.252113</v>
      </c>
      <c r="D10" s="12">
        <v>52822800511.083603</v>
      </c>
      <c r="E10" s="12">
        <v>79677560524.244904</v>
      </c>
      <c r="F10" s="12">
        <v>116424128810.33334</v>
      </c>
      <c r="G10" s="13">
        <v>50.839334062809627</v>
      </c>
      <c r="H10" s="13">
        <v>46.119093059967511</v>
      </c>
      <c r="I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" customHeight="1" x14ac:dyDescent="0.45">
      <c r="A11" s="16" t="s">
        <v>14</v>
      </c>
      <c r="B11" s="17">
        <v>95035036741.049484</v>
      </c>
      <c r="C11" s="17">
        <v>102693744622.28125</v>
      </c>
      <c r="D11" s="17">
        <v>121642471787.53784</v>
      </c>
      <c r="E11" s="17">
        <v>121589666384.67372</v>
      </c>
      <c r="F11" s="17">
        <v>126472474564.985</v>
      </c>
      <c r="G11" s="18">
        <v>-4.3410333650861777E-2</v>
      </c>
      <c r="H11" s="18">
        <v>4.0158085185163062</v>
      </c>
      <c r="I11" s="1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21" customHeight="1" x14ac:dyDescent="0.45">
      <c r="A12" s="11" t="s">
        <v>15</v>
      </c>
      <c r="B12" s="12">
        <v>14446468502.35376</v>
      </c>
      <c r="C12" s="12">
        <v>15908557155.165808</v>
      </c>
      <c r="D12" s="12">
        <v>15991279811.286003</v>
      </c>
      <c r="E12" s="12">
        <v>14964342602.970715</v>
      </c>
      <c r="F12" s="12">
        <v>15031862967.866669</v>
      </c>
      <c r="G12" s="13">
        <v>-6.4218575400732947</v>
      </c>
      <c r="H12" s="13">
        <v>0.45120836034955314</v>
      </c>
      <c r="I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21" customHeight="1" x14ac:dyDescent="0.45">
      <c r="A13" s="16" t="s">
        <v>16</v>
      </c>
      <c r="B13" s="17">
        <v>18745646698.066296</v>
      </c>
      <c r="C13" s="17">
        <v>18017117866.646717</v>
      </c>
      <c r="D13" s="17">
        <v>22091677623.573555</v>
      </c>
      <c r="E13" s="17">
        <v>28599837972.49564</v>
      </c>
      <c r="F13" s="17">
        <v>33086153095.391678</v>
      </c>
      <c r="G13" s="18">
        <v>29.459783271404284</v>
      </c>
      <c r="H13" s="18">
        <v>15.686505382339977</v>
      </c>
      <c r="I13" s="1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21" customHeight="1" x14ac:dyDescent="0.45">
      <c r="A14" s="11" t="s">
        <v>17</v>
      </c>
      <c r="B14" s="12">
        <v>99283928.236581042</v>
      </c>
      <c r="C14" s="12">
        <v>128811337.62878753</v>
      </c>
      <c r="D14" s="12">
        <v>110120596.81271692</v>
      </c>
      <c r="E14" s="12">
        <v>124484978.67157206</v>
      </c>
      <c r="F14" s="12">
        <v>174955447.33333334</v>
      </c>
      <c r="G14" s="13">
        <v>13.044228123177337</v>
      </c>
      <c r="H14" s="13">
        <v>40.543420740680048</v>
      </c>
      <c r="I14" s="1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1" customHeight="1" x14ac:dyDescent="0.45">
      <c r="A15" s="16" t="s">
        <v>18</v>
      </c>
      <c r="B15" s="17">
        <v>12754378590.332085</v>
      </c>
      <c r="C15" s="17">
        <v>15049432046.429008</v>
      </c>
      <c r="D15" s="17">
        <v>21643917183.170685</v>
      </c>
      <c r="E15" s="17">
        <v>19643701562.864594</v>
      </c>
      <c r="F15" s="17">
        <v>20500737259.862572</v>
      </c>
      <c r="G15" s="18">
        <v>-9.2414677222169672</v>
      </c>
      <c r="H15" s="18">
        <v>4.3629032657376499</v>
      </c>
      <c r="I15" s="1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1" customHeight="1" x14ac:dyDescent="0.45">
      <c r="A16" s="11" t="s">
        <v>19</v>
      </c>
      <c r="B16" s="12">
        <v>136850862443.94696</v>
      </c>
      <c r="C16" s="12">
        <v>153772400829.3208</v>
      </c>
      <c r="D16" s="12">
        <v>151935678661.98969</v>
      </c>
      <c r="E16" s="12">
        <v>125951154249.08844</v>
      </c>
      <c r="F16" s="12">
        <v>146997168073.01743</v>
      </c>
      <c r="G16" s="13">
        <v>-17.102318982435229</v>
      </c>
      <c r="H16" s="13">
        <v>16.709663320994373</v>
      </c>
      <c r="I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1" customHeight="1" x14ac:dyDescent="0.45">
      <c r="A17" s="16" t="s">
        <v>20</v>
      </c>
      <c r="B17" s="17">
        <v>397678097229.41797</v>
      </c>
      <c r="C17" s="17">
        <v>349808145087.50543</v>
      </c>
      <c r="D17" s="17">
        <v>358136496693.97125</v>
      </c>
      <c r="E17" s="17">
        <v>301206073071.59839</v>
      </c>
      <c r="F17" s="17">
        <v>341569815185.14288</v>
      </c>
      <c r="G17" s="18">
        <v>-15.896292097540698</v>
      </c>
      <c r="H17" s="18">
        <v>13.400706599946211</v>
      </c>
      <c r="I17" s="1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1" customHeight="1" x14ac:dyDescent="0.45">
      <c r="A18" s="11" t="s">
        <v>21</v>
      </c>
      <c r="B18" s="12">
        <v>12572683053.813282</v>
      </c>
      <c r="C18" s="12">
        <v>15487726885.88633</v>
      </c>
      <c r="D18" s="12">
        <v>19080175002.936741</v>
      </c>
      <c r="E18" s="12">
        <v>20707265239.79604</v>
      </c>
      <c r="F18" s="12">
        <v>16565426168.523411</v>
      </c>
      <c r="G18" s="13">
        <v>8.5276483921602697</v>
      </c>
      <c r="H18" s="13">
        <v>-20.001864192634567</v>
      </c>
      <c r="I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1" customHeight="1" x14ac:dyDescent="0.45">
      <c r="A19" s="16" t="s">
        <v>22</v>
      </c>
      <c r="B19" s="17">
        <v>13574157710.455204</v>
      </c>
      <c r="C19" s="17">
        <v>19103647062.156277</v>
      </c>
      <c r="D19" s="17">
        <v>11139805245.911386</v>
      </c>
      <c r="E19" s="17">
        <v>10623486720.606543</v>
      </c>
      <c r="F19" s="17">
        <v>9754685351.5249996</v>
      </c>
      <c r="G19" s="18">
        <v>-4.6348972347999284</v>
      </c>
      <c r="H19" s="18">
        <v>-8.1781188411175325</v>
      </c>
      <c r="I19" s="1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1" customHeight="1" x14ac:dyDescent="0.45">
      <c r="A20" s="11" t="s">
        <v>23</v>
      </c>
      <c r="B20" s="12">
        <v>7379715537.4906511</v>
      </c>
      <c r="C20" s="12">
        <v>6738261914.50811</v>
      </c>
      <c r="D20" s="12">
        <v>8164233190.6994457</v>
      </c>
      <c r="E20" s="12">
        <v>11300667693.944187</v>
      </c>
      <c r="F20" s="12">
        <v>11254776739.591837</v>
      </c>
      <c r="G20" s="13">
        <v>38.416767747615467</v>
      </c>
      <c r="H20" s="13">
        <v>-0.40609064521862637</v>
      </c>
      <c r="I20" s="14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1" customHeight="1" thickBot="1" x14ac:dyDescent="0.5">
      <c r="A21" s="20" t="s">
        <v>24</v>
      </c>
      <c r="B21" s="21">
        <v>838178665728.10498</v>
      </c>
      <c r="C21" s="21">
        <v>842901448773.67932</v>
      </c>
      <c r="D21" s="21">
        <v>876319996202.85986</v>
      </c>
      <c r="E21" s="21">
        <v>848030758364.37341</v>
      </c>
      <c r="F21" s="21">
        <v>941554109402.4364</v>
      </c>
      <c r="G21" s="22">
        <v>-3.2281858180875922</v>
      </c>
      <c r="H21" s="22">
        <v>11.02829704177768</v>
      </c>
      <c r="I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21" customHeight="1" thickTop="1" x14ac:dyDescent="0.45">
      <c r="A22" s="11" t="s">
        <v>25</v>
      </c>
      <c r="B22" s="12">
        <v>163553419599.2468</v>
      </c>
      <c r="C22" s="12">
        <v>159593754170.68137</v>
      </c>
      <c r="D22" s="12">
        <v>152364941008.09897</v>
      </c>
      <c r="E22" s="12">
        <v>169322489106.0148</v>
      </c>
      <c r="F22" s="12">
        <v>206156930666.29041</v>
      </c>
      <c r="G22" s="13">
        <v>11.129560373744019</v>
      </c>
      <c r="H22" s="13">
        <v>21.754016111358453</v>
      </c>
      <c r="I22" s="14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21" customHeight="1" x14ac:dyDescent="0.45">
      <c r="A23" s="16" t="s">
        <v>26</v>
      </c>
      <c r="B23" s="17">
        <v>48319420131.823502</v>
      </c>
      <c r="C23" s="17">
        <v>42160345872.770889</v>
      </c>
      <c r="D23" s="17">
        <v>48236527355.26931</v>
      </c>
      <c r="E23" s="17">
        <v>56220517673.693687</v>
      </c>
      <c r="F23" s="17">
        <v>58793766415.693855</v>
      </c>
      <c r="G23" s="18">
        <v>16.55175186974196</v>
      </c>
      <c r="H23" s="18">
        <v>4.5770634075897654</v>
      </c>
      <c r="I23" s="1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1" customHeight="1" x14ac:dyDescent="0.45">
      <c r="A24" s="11" t="s">
        <v>27</v>
      </c>
      <c r="B24" s="12">
        <v>103057814443.62997</v>
      </c>
      <c r="C24" s="12">
        <v>100447357246.77084</v>
      </c>
      <c r="D24" s="12">
        <v>97059577027.102234</v>
      </c>
      <c r="E24" s="12">
        <v>106086854854.91859</v>
      </c>
      <c r="F24" s="12">
        <v>113005758883.42001</v>
      </c>
      <c r="G24" s="13">
        <v>9.3007594967116312</v>
      </c>
      <c r="H24" s="13">
        <v>6.5219239819707342</v>
      </c>
      <c r="I24" s="1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1" customHeight="1" x14ac:dyDescent="0.45">
      <c r="A25" s="16" t="s">
        <v>28</v>
      </c>
      <c r="B25" s="17">
        <v>55602237824.833969</v>
      </c>
      <c r="C25" s="17">
        <v>60706479563.083481</v>
      </c>
      <c r="D25" s="17">
        <v>68264610367.996994</v>
      </c>
      <c r="E25" s="17">
        <v>67877155815.772659</v>
      </c>
      <c r="F25" s="17">
        <v>69342986180</v>
      </c>
      <c r="G25" s="18">
        <v>-0.56757747555529203</v>
      </c>
      <c r="H25" s="18">
        <v>2.1595341563895198</v>
      </c>
      <c r="I25" s="1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1" customHeight="1" x14ac:dyDescent="0.45">
      <c r="A26" s="11" t="s">
        <v>29</v>
      </c>
      <c r="B26" s="12">
        <v>19474734972.925209</v>
      </c>
      <c r="C26" s="12">
        <v>21607835191.48819</v>
      </c>
      <c r="D26" s="12">
        <v>26625485857.211861</v>
      </c>
      <c r="E26" s="12">
        <v>26201310665.117214</v>
      </c>
      <c r="F26" s="12">
        <v>24726222813.214283</v>
      </c>
      <c r="G26" s="13">
        <v>-1.5931171899338459</v>
      </c>
      <c r="H26" s="13">
        <v>-5.6298246708198825</v>
      </c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1" customHeight="1" thickBot="1" x14ac:dyDescent="0.5">
      <c r="A27" s="20" t="s">
        <v>30</v>
      </c>
      <c r="B27" s="21">
        <v>390007626972.45953</v>
      </c>
      <c r="C27" s="21">
        <v>384515772044.7948</v>
      </c>
      <c r="D27" s="21">
        <v>392551141615.67938</v>
      </c>
      <c r="E27" s="21">
        <v>425708328115.51691</v>
      </c>
      <c r="F27" s="21">
        <v>472025664958.61859</v>
      </c>
      <c r="G27" s="22">
        <v>8.4465902616835287</v>
      </c>
      <c r="H27" s="22">
        <v>10.880063598505263</v>
      </c>
      <c r="I27" s="23"/>
      <c r="J27" s="10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0"/>
    </row>
    <row r="28" spans="1:22" ht="21" customHeight="1" thickTop="1" thickBot="1" x14ac:dyDescent="0.5">
      <c r="A28" s="24" t="s">
        <v>31</v>
      </c>
      <c r="B28" s="25">
        <v>1228186292700.5645</v>
      </c>
      <c r="C28" s="25">
        <v>1227417220818.4741</v>
      </c>
      <c r="D28" s="25">
        <v>1268871137818.5393</v>
      </c>
      <c r="E28" s="25">
        <v>1273739086479.8904</v>
      </c>
      <c r="F28" s="25">
        <v>1413579774361.0549</v>
      </c>
      <c r="G28" s="26">
        <v>0.38364405306909877</v>
      </c>
      <c r="H28" s="26">
        <v>10.978754547576042</v>
      </c>
      <c r="I28" s="27"/>
      <c r="J28" s="28"/>
      <c r="K28" s="10"/>
      <c r="L28" s="15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s="30" customFormat="1" ht="25.5" customHeight="1" thickTop="1" x14ac:dyDescent="0.25">
      <c r="A29" s="130" t="s">
        <v>130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</row>
    <row r="30" spans="1:22" s="30" customFormat="1" ht="16.5" customHeight="1" x14ac:dyDescent="0.25">
      <c r="A30" s="130" t="s">
        <v>133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0"/>
      <c r="V30" s="130"/>
    </row>
    <row r="31" spans="1:22" s="30" customFormat="1" ht="33.75" customHeight="1" x14ac:dyDescent="0.25">
      <c r="A31" s="130" t="s">
        <v>121</v>
      </c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</row>
    <row r="32" spans="1:22" s="2" customFormat="1" ht="29.25" customHeight="1" x14ac:dyDescent="0.35">
      <c r="A32" s="133" t="s">
        <v>32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</row>
    <row r="33" spans="1:22" s="2" customFormat="1" ht="14.25" customHeight="1" x14ac:dyDescent="0.35">
      <c r="A33" s="130" t="s">
        <v>33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</row>
    <row r="34" spans="1:22" s="2" customFormat="1" ht="15" x14ac:dyDescent="0.35">
      <c r="A34" s="131" t="s">
        <v>34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</row>
    <row r="35" spans="1:22" s="2" customFormat="1" ht="15" x14ac:dyDescent="0.35">
      <c r="A35" s="30" t="s">
        <v>131</v>
      </c>
      <c r="B35" s="30"/>
      <c r="C35" s="30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</row>
    <row r="36" spans="1:22" s="2" customFormat="1" ht="15" x14ac:dyDescent="0.35">
      <c r="A36" s="30" t="s">
        <v>134</v>
      </c>
      <c r="B36" s="30"/>
      <c r="C36" s="30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</row>
    <row r="37" spans="1:22" s="2" customFormat="1" ht="15" x14ac:dyDescent="0.35">
      <c r="A37" s="129" t="s">
        <v>35</v>
      </c>
      <c r="B37" s="129"/>
      <c r="C37" s="30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</row>
    <row r="38" spans="1:22" s="2" customFormat="1" ht="15" x14ac:dyDescent="0.35">
      <c r="A38" s="129" t="s">
        <v>36</v>
      </c>
      <c r="B38" s="129"/>
      <c r="C38" s="30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</row>
    <row r="39" spans="1:22" s="2" customFormat="1" ht="15" x14ac:dyDescent="0.35">
      <c r="A39" s="129" t="s">
        <v>122</v>
      </c>
      <c r="B39" s="129"/>
      <c r="C39" s="30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</row>
    <row r="40" spans="1:22" ht="17.25" customHeight="1" x14ac:dyDescent="0.45">
      <c r="A40" s="130" t="s">
        <v>37</v>
      </c>
      <c r="B40" s="130"/>
    </row>
  </sheetData>
  <mergeCells count="7">
    <mergeCell ref="A33:V33"/>
    <mergeCell ref="A34:U34"/>
    <mergeCell ref="A40:B40"/>
    <mergeCell ref="A29:V29"/>
    <mergeCell ref="A30:V30"/>
    <mergeCell ref="A31:V31"/>
    <mergeCell ref="A32:V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49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2FA7DE0-318B-40ED-B5C0-0340D21669C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G4</xm:sqref>
        </x14:conditionalFormatting>
        <x14:conditionalFormatting xmlns:xm="http://schemas.microsoft.com/office/excel/2006/main">
          <x14:cfRule type="iconSet" priority="34" id="{FF45A485-9BE3-4BFD-9345-DEE78D7FFD2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G5:G11 G21:G28</xm:sqref>
        </x14:conditionalFormatting>
        <x14:conditionalFormatting xmlns:xm="http://schemas.microsoft.com/office/excel/2006/main">
          <x14:cfRule type="iconSet" priority="1" id="{6EA7A9A6-68EC-40D8-B3D6-946E746377D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G12:G20</xm:sqref>
        </x14:conditionalFormatting>
        <x14:conditionalFormatting xmlns:xm="http://schemas.microsoft.com/office/excel/2006/main">
          <x14:cfRule type="iconSet" priority="4" id="{01DAE967-EA37-449D-ABBD-5D173A0C2BA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H4</xm:sqref>
        </x14:conditionalFormatting>
        <x14:conditionalFormatting xmlns:xm="http://schemas.microsoft.com/office/excel/2006/main">
          <x14:cfRule type="iconSet" priority="36" id="{E8A45179-22B6-4C31-8133-D3722E1C682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H5:H11 H21:H28</xm:sqref>
        </x14:conditionalFormatting>
        <x14:conditionalFormatting xmlns:xm="http://schemas.microsoft.com/office/excel/2006/main">
          <x14:cfRule type="iconSet" priority="2" id="{FE888E44-EB0B-4458-9915-89CEEB29D0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H12:H20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VBP!B4:D4</xm:f>
              <xm:sqref>I4</xm:sqref>
            </x14:sparkline>
            <x14:sparkline>
              <xm:f>VBP!B5:D5</xm:f>
              <xm:sqref>I5</xm:sqref>
            </x14:sparkline>
            <x14:sparkline>
              <xm:f>VBP!B6:D6</xm:f>
              <xm:sqref>I6</xm:sqref>
            </x14:sparkline>
            <x14:sparkline>
              <xm:f>VBP!B7:D7</xm:f>
              <xm:sqref>I7</xm:sqref>
            </x14:sparkline>
            <x14:sparkline>
              <xm:f>VBP!B8:D8</xm:f>
              <xm:sqref>I8</xm:sqref>
            </x14:sparkline>
            <x14:sparkline>
              <xm:f>VBP!B9:D9</xm:f>
              <xm:sqref>I9</xm:sqref>
            </x14:sparkline>
            <x14:sparkline>
              <xm:f>VBP!B10:D10</xm:f>
              <xm:sqref>I10</xm:sqref>
            </x14:sparkline>
            <x14:sparkline>
              <xm:f>VBP!B11:D11</xm:f>
              <xm:sqref>I11</xm:sqref>
            </x14:sparkline>
            <x14:sparkline>
              <xm:f>VBP!B12:D12</xm:f>
              <xm:sqref>I12</xm:sqref>
            </x14:sparkline>
            <x14:sparkline>
              <xm:f>VBP!B13:D13</xm:f>
              <xm:sqref>I13</xm:sqref>
            </x14:sparkline>
            <x14:sparkline>
              <xm:f>VBP!B14:D14</xm:f>
              <xm:sqref>I14</xm:sqref>
            </x14:sparkline>
            <x14:sparkline>
              <xm:f>VBP!B15:D15</xm:f>
              <xm:sqref>I15</xm:sqref>
            </x14:sparkline>
            <x14:sparkline>
              <xm:f>VBP!B16:D16</xm:f>
              <xm:sqref>I16</xm:sqref>
            </x14:sparkline>
            <x14:sparkline>
              <xm:f>VBP!B17:D17</xm:f>
              <xm:sqref>I17</xm:sqref>
            </x14:sparkline>
            <x14:sparkline>
              <xm:f>VBP!B18:D18</xm:f>
              <xm:sqref>I18</xm:sqref>
            </x14:sparkline>
            <x14:sparkline>
              <xm:f>VBP!B19:D19</xm:f>
              <xm:sqref>I19</xm:sqref>
            </x14:sparkline>
            <x14:sparkline>
              <xm:f>VBP!B20:D20</xm:f>
              <xm:sqref>I20</xm:sqref>
            </x14:sparkline>
            <x14:sparkline>
              <xm:f>VBP!B21:D21</xm:f>
              <xm:sqref>I21</xm:sqref>
            </x14:sparkline>
            <x14:sparkline>
              <xm:f>VBP!B22:D22</xm:f>
              <xm:sqref>I22</xm:sqref>
            </x14:sparkline>
            <x14:sparkline>
              <xm:f>VBP!B23:D23</xm:f>
              <xm:sqref>I23</xm:sqref>
            </x14:sparkline>
            <x14:sparkline>
              <xm:f>VBP!B24:D24</xm:f>
              <xm:sqref>I24</xm:sqref>
            </x14:sparkline>
            <x14:sparkline>
              <xm:f>VBP!B25:D25</xm:f>
              <xm:sqref>I25</xm:sqref>
            </x14:sparkline>
            <x14:sparkline>
              <xm:f>VBP!B26:D26</xm:f>
              <xm:sqref>I26</xm:sqref>
            </x14:sparkline>
            <x14:sparkline>
              <xm:f>VBP!B27:D27</xm:f>
              <xm:sqref>I27</xm:sqref>
            </x14:sparkline>
            <x14:sparkline>
              <xm:f>VBP!B28:D28</xm:f>
              <xm:sqref>I28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6"/>
  <sheetViews>
    <sheetView showGridLines="0" zoomScaleNormal="100" workbookViewId="0">
      <pane xSplit="1" ySplit="3" topLeftCell="B4" activePane="bottomRight" state="frozen"/>
      <selection activeCell="A4" sqref="A4"/>
      <selection pane="topRight" activeCell="A4" sqref="A4"/>
      <selection pane="bottomLeft" activeCell="A4" sqref="A4"/>
      <selection pane="bottomRight" activeCell="B3" sqref="B3"/>
    </sheetView>
  </sheetViews>
  <sheetFormatPr defaultColWidth="8.88671875" defaultRowHeight="19.2" x14ac:dyDescent="0.45"/>
  <cols>
    <col min="1" max="1" width="22.33203125" style="3" customWidth="1"/>
    <col min="2" max="32" width="8.33203125" style="3" bestFit="1" customWidth="1"/>
    <col min="33" max="38" width="10.109375" style="3" bestFit="1" customWidth="1"/>
    <col min="39" max="41" width="13.5546875" style="121" customWidth="1"/>
    <col min="42" max="16384" width="8.88671875" style="3"/>
  </cols>
  <sheetData>
    <row r="1" spans="1:41" x14ac:dyDescent="0.45">
      <c r="A1" s="29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41" x14ac:dyDescent="0.45">
      <c r="A2" s="135" t="s">
        <v>38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44"/>
      <c r="AK2" s="44"/>
      <c r="AL2" s="44"/>
    </row>
    <row r="3" spans="1:41" s="10" customFormat="1" ht="33" customHeight="1" thickBot="1" x14ac:dyDescent="0.5">
      <c r="A3" s="6"/>
      <c r="B3" s="32" t="s">
        <v>39</v>
      </c>
      <c r="C3" s="32" t="s">
        <v>40</v>
      </c>
      <c r="D3" s="32" t="s">
        <v>41</v>
      </c>
      <c r="E3" s="32" t="s">
        <v>42</v>
      </c>
      <c r="F3" s="32" t="s">
        <v>43</v>
      </c>
      <c r="G3" s="32" t="s">
        <v>44</v>
      </c>
      <c r="H3" s="32" t="s">
        <v>45</v>
      </c>
      <c r="I3" s="32" t="s">
        <v>46</v>
      </c>
      <c r="J3" s="32" t="s">
        <v>47</v>
      </c>
      <c r="K3" s="32" t="s">
        <v>48</v>
      </c>
      <c r="L3" s="32" t="s">
        <v>49</v>
      </c>
      <c r="M3" s="32" t="s">
        <v>50</v>
      </c>
      <c r="N3" s="32" t="s">
        <v>51</v>
      </c>
      <c r="O3" s="32" t="s">
        <v>52</v>
      </c>
      <c r="P3" s="32" t="s">
        <v>53</v>
      </c>
      <c r="Q3" s="32" t="s">
        <v>54</v>
      </c>
      <c r="R3" s="32" t="s">
        <v>55</v>
      </c>
      <c r="S3" s="32" t="s">
        <v>56</v>
      </c>
      <c r="T3" s="32" t="s">
        <v>57</v>
      </c>
      <c r="U3" s="32" t="s">
        <v>58</v>
      </c>
      <c r="V3" s="32" t="s">
        <v>59</v>
      </c>
      <c r="W3" s="32" t="s">
        <v>60</v>
      </c>
      <c r="X3" s="32" t="s">
        <v>61</v>
      </c>
      <c r="Y3" s="32" t="s">
        <v>62</v>
      </c>
      <c r="Z3" s="32" t="s">
        <v>63</v>
      </c>
      <c r="AA3" s="32" t="s">
        <v>64</v>
      </c>
      <c r="AB3" s="32" t="s">
        <v>65</v>
      </c>
      <c r="AC3" s="33" t="s">
        <v>66</v>
      </c>
      <c r="AD3" s="33" t="s">
        <v>67</v>
      </c>
      <c r="AE3" s="33" t="s">
        <v>68</v>
      </c>
      <c r="AF3" s="33" t="s">
        <v>69</v>
      </c>
      <c r="AG3" s="33" t="s">
        <v>70</v>
      </c>
      <c r="AH3" s="33" t="s">
        <v>71</v>
      </c>
      <c r="AI3" s="33">
        <v>2022</v>
      </c>
      <c r="AJ3" s="33" t="s">
        <v>72</v>
      </c>
      <c r="AK3" s="33" t="s">
        <v>128</v>
      </c>
      <c r="AL3" s="33" t="s">
        <v>127</v>
      </c>
      <c r="AM3" s="127" t="s">
        <v>73</v>
      </c>
      <c r="AN3" s="127" t="s">
        <v>74</v>
      </c>
      <c r="AO3" s="127" t="s">
        <v>119</v>
      </c>
    </row>
    <row r="4" spans="1:41" s="15" customFormat="1" ht="19.5" customHeight="1" thickTop="1" x14ac:dyDescent="0.45">
      <c r="A4" s="11" t="s">
        <v>7</v>
      </c>
      <c r="B4" s="34">
        <v>10.226133067380369</v>
      </c>
      <c r="C4" s="34">
        <v>8.4905513512773059</v>
      </c>
      <c r="D4" s="34">
        <v>9.5563926552858067</v>
      </c>
      <c r="E4" s="34">
        <v>8.3383796516195243</v>
      </c>
      <c r="F4" s="34">
        <v>5.0513029424864824</v>
      </c>
      <c r="G4" s="34">
        <v>6.5136977659492645</v>
      </c>
      <c r="H4" s="34">
        <v>6.1186611756152232</v>
      </c>
      <c r="I4" s="34">
        <v>4.2123966153446206</v>
      </c>
      <c r="J4" s="34">
        <v>3.9306227066813539</v>
      </c>
      <c r="K4" s="34">
        <v>4.7679041430583906</v>
      </c>
      <c r="L4" s="34">
        <v>6.1663016477258941</v>
      </c>
      <c r="M4" s="34">
        <v>8.1548258644698155</v>
      </c>
      <c r="N4" s="34">
        <v>9.2991270223662728</v>
      </c>
      <c r="O4" s="34">
        <v>7.7335774409131686</v>
      </c>
      <c r="P4" s="34">
        <v>10.105017467817357</v>
      </c>
      <c r="Q4" s="34">
        <v>18.005711034923362</v>
      </c>
      <c r="R4" s="34">
        <v>12.999839534734051</v>
      </c>
      <c r="S4" s="34">
        <v>9.5773881164968611</v>
      </c>
      <c r="T4" s="34">
        <v>13.257943464639494</v>
      </c>
      <c r="U4" s="34">
        <v>12.438275054039977</v>
      </c>
      <c r="V4" s="34">
        <v>8.5747711282531238</v>
      </c>
      <c r="W4" s="34">
        <v>8.2959175425222913</v>
      </c>
      <c r="X4" s="34">
        <v>21.679385671618281</v>
      </c>
      <c r="Y4" s="34">
        <v>27.004107109677427</v>
      </c>
      <c r="Z4" s="34">
        <v>19.205451633360131</v>
      </c>
      <c r="AA4" s="34">
        <v>24.692311200870833</v>
      </c>
      <c r="AB4" s="34">
        <v>25.26597921836591</v>
      </c>
      <c r="AC4" s="35">
        <v>22.938839397629632</v>
      </c>
      <c r="AD4" s="35">
        <v>15.743512974345235</v>
      </c>
      <c r="AE4" s="35">
        <v>23.446943470862813</v>
      </c>
      <c r="AF4" s="35">
        <v>26.966647579413291</v>
      </c>
      <c r="AG4" s="35">
        <v>29.121345125114527</v>
      </c>
      <c r="AH4" s="35">
        <v>29.997474876022149</v>
      </c>
      <c r="AI4" s="35">
        <v>35.793719215642511</v>
      </c>
      <c r="AJ4" s="35">
        <v>32.510352549604484</v>
      </c>
      <c r="AK4" s="35">
        <v>34.395459192971543</v>
      </c>
      <c r="AL4" s="35">
        <v>34.275340952380958</v>
      </c>
      <c r="AM4" s="122">
        <v>-9.1730245919880105E-2</v>
      </c>
      <c r="AN4" s="122">
        <v>5.7984810853427549E-2</v>
      </c>
      <c r="AO4" s="122">
        <v>-3.4922702998868571E-3</v>
      </c>
    </row>
    <row r="5" spans="1:41" s="15" customFormat="1" ht="19.5" customHeight="1" x14ac:dyDescent="0.45">
      <c r="A5" s="16" t="s">
        <v>8</v>
      </c>
      <c r="B5" s="36">
        <v>0.78158117950735806</v>
      </c>
      <c r="C5" s="36">
        <v>0.62892307766580768</v>
      </c>
      <c r="D5" s="36">
        <v>0.70316619876673503</v>
      </c>
      <c r="E5" s="36">
        <v>0.56884775536884091</v>
      </c>
      <c r="F5" s="36">
        <v>0.69850182678941442</v>
      </c>
      <c r="G5" s="36">
        <v>0.65280071599196099</v>
      </c>
      <c r="H5" s="36">
        <v>0.58369377960135482</v>
      </c>
      <c r="I5" s="36">
        <v>0.5579923873211009</v>
      </c>
      <c r="J5" s="36">
        <v>0.58610751802531436</v>
      </c>
      <c r="K5" s="36">
        <v>0.62965946162560382</v>
      </c>
      <c r="L5" s="36">
        <v>0.77184346696022721</v>
      </c>
      <c r="M5" s="36">
        <v>0.85831898690122188</v>
      </c>
      <c r="N5" s="36">
        <v>0.61543373594461981</v>
      </c>
      <c r="O5" s="36">
        <v>0.78015243646276666</v>
      </c>
      <c r="P5" s="36">
        <v>0.9092436983241956</v>
      </c>
      <c r="Q5" s="36">
        <v>1.0485181496267661</v>
      </c>
      <c r="R5" s="36">
        <v>1.1008839966236474</v>
      </c>
      <c r="S5" s="36">
        <v>0.83451575391909139</v>
      </c>
      <c r="T5" s="36">
        <v>1.0524813097174106</v>
      </c>
      <c r="U5" s="36">
        <v>1.5016620931945119</v>
      </c>
      <c r="V5" s="36">
        <v>0.92163784105483348</v>
      </c>
      <c r="W5" s="36">
        <v>0.88784699312012982</v>
      </c>
      <c r="X5" s="36">
        <v>1.2174658655885235</v>
      </c>
      <c r="Y5" s="36">
        <v>1.3645856858551755</v>
      </c>
      <c r="Z5" s="36">
        <v>1.6805316421717802</v>
      </c>
      <c r="AA5" s="36">
        <v>1.8976276609068059</v>
      </c>
      <c r="AB5" s="36">
        <v>2.0304893224042853</v>
      </c>
      <c r="AC5" s="37">
        <v>2.2808500579097735</v>
      </c>
      <c r="AD5" s="37">
        <v>2.3527482948113176</v>
      </c>
      <c r="AE5" s="37">
        <v>2.1264158025186632</v>
      </c>
      <c r="AF5" s="37">
        <v>2.4737102417189778</v>
      </c>
      <c r="AG5" s="37">
        <v>3.4141120122753592</v>
      </c>
      <c r="AH5" s="37">
        <v>3.1260013428688809</v>
      </c>
      <c r="AI5" s="37">
        <v>3.6761075889089216</v>
      </c>
      <c r="AJ5" s="37">
        <v>4.6813955483363037</v>
      </c>
      <c r="AK5" s="37">
        <v>4.4158656220235546</v>
      </c>
      <c r="AL5" s="37">
        <v>5.4682655946666667</v>
      </c>
      <c r="AM5" s="122">
        <v>0.2734653257865487</v>
      </c>
      <c r="AN5" s="122">
        <v>-5.6720250098736935E-2</v>
      </c>
      <c r="AO5" s="122">
        <v>0.23832246330015217</v>
      </c>
    </row>
    <row r="6" spans="1:41" s="15" customFormat="1" ht="19.5" customHeight="1" x14ac:dyDescent="0.45">
      <c r="A6" s="11" t="s">
        <v>9</v>
      </c>
      <c r="B6" s="34">
        <v>23.586128743960877</v>
      </c>
      <c r="C6" s="34">
        <v>19.20466713563102</v>
      </c>
      <c r="D6" s="34">
        <v>28.115910002683957</v>
      </c>
      <c r="E6" s="34">
        <v>23.736867523189492</v>
      </c>
      <c r="F6" s="34">
        <v>23.927022028217863</v>
      </c>
      <c r="G6" s="34">
        <v>22.785945328156632</v>
      </c>
      <c r="H6" s="34">
        <v>19.963964205959304</v>
      </c>
      <c r="I6" s="34">
        <v>16.202178623325814</v>
      </c>
      <c r="J6" s="34">
        <v>16.12875767880082</v>
      </c>
      <c r="K6" s="34">
        <v>17.929700924664413</v>
      </c>
      <c r="L6" s="34">
        <v>24.230256476344056</v>
      </c>
      <c r="M6" s="34">
        <v>17.705052941802073</v>
      </c>
      <c r="N6" s="34">
        <v>17.323556129195932</v>
      </c>
      <c r="O6" s="34">
        <v>20.754796338060519</v>
      </c>
      <c r="P6" s="34">
        <v>25.082154729005737</v>
      </c>
      <c r="Q6" s="34">
        <v>31.929641813970207</v>
      </c>
      <c r="R6" s="34">
        <v>23.291930285066922</v>
      </c>
      <c r="S6" s="34">
        <v>18.416948837618119</v>
      </c>
      <c r="T6" s="34">
        <v>18.484201827361364</v>
      </c>
      <c r="U6" s="34">
        <v>23.748188144173696</v>
      </c>
      <c r="V6" s="34">
        <v>25.37487980295948</v>
      </c>
      <c r="W6" s="34">
        <v>19.667566898799826</v>
      </c>
      <c r="X6" s="34">
        <v>19.303163206195308</v>
      </c>
      <c r="Y6" s="34">
        <v>17.3676227289384</v>
      </c>
      <c r="Z6" s="34">
        <v>21.074326736295664</v>
      </c>
      <c r="AA6" s="34">
        <v>21.619808199337719</v>
      </c>
      <c r="AB6" s="34">
        <v>20.119370193967061</v>
      </c>
      <c r="AC6" s="35">
        <v>18.418885875888336</v>
      </c>
      <c r="AD6" s="35">
        <v>20.105247171285029</v>
      </c>
      <c r="AE6" s="35">
        <v>16.752371207332846</v>
      </c>
      <c r="AF6" s="35">
        <v>15.824320432491341</v>
      </c>
      <c r="AG6" s="35">
        <v>21.82219629646595</v>
      </c>
      <c r="AH6" s="35">
        <v>21.845639018260609</v>
      </c>
      <c r="AI6" s="35">
        <v>17.525555884247652</v>
      </c>
      <c r="AJ6" s="35">
        <v>21.717309092691909</v>
      </c>
      <c r="AK6" s="35">
        <v>25.178295624177537</v>
      </c>
      <c r="AL6" s="35">
        <v>23.373660350305883</v>
      </c>
      <c r="AM6" s="122">
        <v>0.23917947231630454</v>
      </c>
      <c r="AN6" s="122">
        <v>0.15936534847451633</v>
      </c>
      <c r="AO6" s="122">
        <v>-7.1674242800563004E-2</v>
      </c>
    </row>
    <row r="7" spans="1:41" s="15" customFormat="1" ht="19.5" customHeight="1" x14ac:dyDescent="0.45">
      <c r="A7" s="16" t="s">
        <v>10</v>
      </c>
      <c r="B7" s="36">
        <v>15.568395734253555</v>
      </c>
      <c r="C7" s="36">
        <v>17.128675387071944</v>
      </c>
      <c r="D7" s="36">
        <v>14.763003528924525</v>
      </c>
      <c r="E7" s="36">
        <v>11.890327111542899</v>
      </c>
      <c r="F7" s="36">
        <v>11.853917412296932</v>
      </c>
      <c r="G7" s="36">
        <v>17.344969911452594</v>
      </c>
      <c r="H7" s="36">
        <v>23.042445678058129</v>
      </c>
      <c r="I7" s="36">
        <v>15.786123795391847</v>
      </c>
      <c r="J7" s="36">
        <v>13.724635658911826</v>
      </c>
      <c r="K7" s="36">
        <v>13.830152369092906</v>
      </c>
      <c r="L7" s="36">
        <v>14.685073735184856</v>
      </c>
      <c r="M7" s="36">
        <v>12.768915562687884</v>
      </c>
      <c r="N7" s="36">
        <v>12.473838257956324</v>
      </c>
      <c r="O7" s="36">
        <v>12.190072963446761</v>
      </c>
      <c r="P7" s="36">
        <v>12.691067238315622</v>
      </c>
      <c r="Q7" s="36">
        <v>12.5558901993654</v>
      </c>
      <c r="R7" s="36">
        <v>12.778404265108392</v>
      </c>
      <c r="S7" s="36">
        <v>13.243408876164477</v>
      </c>
      <c r="T7" s="36">
        <v>14.005206011423494</v>
      </c>
      <c r="U7" s="36">
        <v>14.114128672753338</v>
      </c>
      <c r="V7" s="36">
        <v>13.582502601576278</v>
      </c>
      <c r="W7" s="36">
        <v>15.194427276247861</v>
      </c>
      <c r="X7" s="36">
        <v>16.560416137164736</v>
      </c>
      <c r="Y7" s="36">
        <v>15.608199552221341</v>
      </c>
      <c r="Z7" s="36">
        <v>17.763784577820882</v>
      </c>
      <c r="AA7" s="36">
        <v>18.771450794140293</v>
      </c>
      <c r="AB7" s="36">
        <v>18.388530959277634</v>
      </c>
      <c r="AC7" s="37">
        <v>27.077584381633297</v>
      </c>
      <c r="AD7" s="37">
        <v>19.854571573157806</v>
      </c>
      <c r="AE7" s="37">
        <v>17.198514799703954</v>
      </c>
      <c r="AF7" s="37">
        <v>19.809153782525019</v>
      </c>
      <c r="AG7" s="37">
        <v>15.325656384190324</v>
      </c>
      <c r="AH7" s="37">
        <v>13.655489110680083</v>
      </c>
      <c r="AI7" s="37">
        <v>16.322650864393911</v>
      </c>
      <c r="AJ7" s="37">
        <v>18.755871610557506</v>
      </c>
      <c r="AK7" s="37">
        <v>22.39180776525426</v>
      </c>
      <c r="AL7" s="37">
        <v>20.375524558376405</v>
      </c>
      <c r="AM7" s="122">
        <v>0.14907019493208673</v>
      </c>
      <c r="AN7" s="122">
        <v>0.19385588844882684</v>
      </c>
      <c r="AO7" s="122">
        <v>-9.0045575061007632E-2</v>
      </c>
    </row>
    <row r="8" spans="1:41" s="15" customFormat="1" ht="19.5" customHeight="1" x14ac:dyDescent="0.45">
      <c r="A8" s="11" t="s">
        <v>11</v>
      </c>
      <c r="B8" s="34">
        <v>7.7455223672169407</v>
      </c>
      <c r="C8" s="34">
        <v>9.6720787917975279</v>
      </c>
      <c r="D8" s="34">
        <v>7.1085016128169505</v>
      </c>
      <c r="E8" s="34">
        <v>7.5858931575896591</v>
      </c>
      <c r="F8" s="34">
        <v>5.7629128293221434</v>
      </c>
      <c r="G8" s="34">
        <v>11.32370224499941</v>
      </c>
      <c r="H8" s="34">
        <v>8.5818280598535637</v>
      </c>
      <c r="I8" s="34">
        <v>5.9021381848427357</v>
      </c>
      <c r="J8" s="34">
        <v>7.1379512267760026</v>
      </c>
      <c r="K8" s="34">
        <v>9.1511137373811646</v>
      </c>
      <c r="L8" s="34">
        <v>6.3625849108529335</v>
      </c>
      <c r="M8" s="34">
        <v>6.3218827249635474</v>
      </c>
      <c r="N8" s="34">
        <v>9.293214431972757</v>
      </c>
      <c r="O8" s="34">
        <v>8.1098059739070809</v>
      </c>
      <c r="P8" s="34">
        <v>7.6786165511212401</v>
      </c>
      <c r="Q8" s="34">
        <v>6.2686561105714604</v>
      </c>
      <c r="R8" s="34">
        <v>7.318621121579195</v>
      </c>
      <c r="S8" s="34">
        <v>6.8836818923956908</v>
      </c>
      <c r="T8" s="34">
        <v>7.4291954222150034</v>
      </c>
      <c r="U8" s="34">
        <v>7.5439773161568668</v>
      </c>
      <c r="V8" s="34">
        <v>9.3510032568308841</v>
      </c>
      <c r="W8" s="34">
        <v>9.951906321883035</v>
      </c>
      <c r="X8" s="34">
        <v>8.2138231792105891</v>
      </c>
      <c r="Y8" s="34">
        <v>6.4748379157066829</v>
      </c>
      <c r="Z8" s="34">
        <v>9.6806026450258926</v>
      </c>
      <c r="AA8" s="34">
        <v>11.268227170787062</v>
      </c>
      <c r="AB8" s="34">
        <v>11.134248995214568</v>
      </c>
      <c r="AC8" s="35">
        <v>13.416018538187821</v>
      </c>
      <c r="AD8" s="35">
        <v>7.2000101488189996</v>
      </c>
      <c r="AE8" s="35">
        <v>6.877541956301803</v>
      </c>
      <c r="AF8" s="35">
        <v>12.869645515964985</v>
      </c>
      <c r="AG8" s="35">
        <v>10.331784308794163</v>
      </c>
      <c r="AH8" s="35">
        <v>9.5310623434620609</v>
      </c>
      <c r="AI8" s="35">
        <v>11.65300735314228</v>
      </c>
      <c r="AJ8" s="35">
        <v>11.50089074395569</v>
      </c>
      <c r="AK8" s="35">
        <v>16.080057525508558</v>
      </c>
      <c r="AL8" s="35">
        <v>6.2475853559999992</v>
      </c>
      <c r="AM8" s="122">
        <v>-1.3053849927038064E-2</v>
      </c>
      <c r="AN8" s="122">
        <v>0.39815757609552604</v>
      </c>
      <c r="AO8" s="122">
        <v>-0.61146996233756257</v>
      </c>
    </row>
    <row r="9" spans="1:41" s="15" customFormat="1" ht="19.5" customHeight="1" x14ac:dyDescent="0.45">
      <c r="A9" s="16" t="s">
        <v>12</v>
      </c>
      <c r="B9" s="36">
        <v>4.7497414633265524</v>
      </c>
      <c r="C9" s="36">
        <v>3.7522425262835495</v>
      </c>
      <c r="D9" s="36">
        <v>4.0420314100976524</v>
      </c>
      <c r="E9" s="36">
        <v>3.7261636763600574</v>
      </c>
      <c r="F9" s="36">
        <v>3.9555066300728816</v>
      </c>
      <c r="G9" s="36">
        <v>3.5347427029035918</v>
      </c>
      <c r="H9" s="36">
        <v>2.997968708997496</v>
      </c>
      <c r="I9" s="36">
        <v>2.4918138633907114</v>
      </c>
      <c r="J9" s="36">
        <v>3.356091555839571</v>
      </c>
      <c r="K9" s="36">
        <v>3.6270924899269255</v>
      </c>
      <c r="L9" s="36">
        <v>2.6551901114706458</v>
      </c>
      <c r="M9" s="36">
        <v>1.9039119669360178</v>
      </c>
      <c r="N9" s="36">
        <v>2.4732638197757479</v>
      </c>
      <c r="O9" s="36">
        <v>4.6763832972004025</v>
      </c>
      <c r="P9" s="36">
        <v>3.889694209445727</v>
      </c>
      <c r="Q9" s="36">
        <v>3.1896172715932054</v>
      </c>
      <c r="R9" s="36">
        <v>2.6822059285282145</v>
      </c>
      <c r="S9" s="36">
        <v>2.3772579938502352</v>
      </c>
      <c r="T9" s="36">
        <v>2.5296181913018319</v>
      </c>
      <c r="U9" s="36">
        <v>2.8637339909987158</v>
      </c>
      <c r="V9" s="36">
        <v>3.6836606843172692</v>
      </c>
      <c r="W9" s="36">
        <v>3.7121978988012128</v>
      </c>
      <c r="X9" s="36">
        <v>3.169773181432471</v>
      </c>
      <c r="Y9" s="36">
        <v>2.9258003671995634</v>
      </c>
      <c r="Z9" s="36">
        <v>2.7983984796058325</v>
      </c>
      <c r="AA9" s="36">
        <v>2.2824902252204526</v>
      </c>
      <c r="AB9" s="36">
        <v>2.6486612075295124</v>
      </c>
      <c r="AC9" s="37">
        <v>3.4535703600628009</v>
      </c>
      <c r="AD9" s="37">
        <v>2.5140342636927073</v>
      </c>
      <c r="AE9" s="37">
        <v>3.4080882777434702</v>
      </c>
      <c r="AF9" s="37">
        <v>3.5793862051538952</v>
      </c>
      <c r="AG9" s="37">
        <v>4.4957124578547596</v>
      </c>
      <c r="AH9" s="37">
        <v>4.6022473832634763</v>
      </c>
      <c r="AI9" s="37">
        <v>3.400457117563477</v>
      </c>
      <c r="AJ9" s="37">
        <v>4.3955203487410053</v>
      </c>
      <c r="AK9" s="37">
        <v>11.181031633483109</v>
      </c>
      <c r="AL9" s="37">
        <v>13.981548927133336</v>
      </c>
      <c r="AM9" s="122">
        <v>0.29262631369117775</v>
      </c>
      <c r="AN9" s="122">
        <v>1.5437333344812418</v>
      </c>
      <c r="AO9" s="122">
        <v>0.25047038461672</v>
      </c>
    </row>
    <row r="10" spans="1:41" s="15" customFormat="1" ht="19.5" customHeight="1" x14ac:dyDescent="0.45">
      <c r="A10" s="11" t="s">
        <v>13</v>
      </c>
      <c r="B10" s="145" t="s">
        <v>116</v>
      </c>
      <c r="C10" s="145" t="s">
        <v>116</v>
      </c>
      <c r="D10" s="145" t="s">
        <v>116</v>
      </c>
      <c r="E10" s="145" t="s">
        <v>116</v>
      </c>
      <c r="F10" s="145" t="s">
        <v>116</v>
      </c>
      <c r="G10" s="145" t="s">
        <v>116</v>
      </c>
      <c r="H10" s="145" t="s">
        <v>116</v>
      </c>
      <c r="I10" s="145" t="s">
        <v>116</v>
      </c>
      <c r="J10" s="34">
        <v>36.580053752110786</v>
      </c>
      <c r="K10" s="34">
        <v>37.328722742104802</v>
      </c>
      <c r="L10" s="34">
        <v>36.191846165321095</v>
      </c>
      <c r="M10" s="34">
        <v>33.254174806539716</v>
      </c>
      <c r="N10" s="34">
        <v>20.686813741221119</v>
      </c>
      <c r="O10" s="34">
        <v>28.785540925387114</v>
      </c>
      <c r="P10" s="34">
        <v>23.884705018014099</v>
      </c>
      <c r="Q10" s="34">
        <v>33.860047383734063</v>
      </c>
      <c r="R10" s="34">
        <v>35.887031240466108</v>
      </c>
      <c r="S10" s="34">
        <v>37.770271857433428</v>
      </c>
      <c r="T10" s="34">
        <v>31.677326530701425</v>
      </c>
      <c r="U10" s="34">
        <v>36.53054311923006</v>
      </c>
      <c r="V10" s="34">
        <v>31.649869918679943</v>
      </c>
      <c r="W10" s="34">
        <v>42.192009968577651</v>
      </c>
      <c r="X10" s="34">
        <v>48.79411213479564</v>
      </c>
      <c r="Y10" s="34">
        <v>44.726120795207777</v>
      </c>
      <c r="Z10" s="34">
        <v>31.594314196005385</v>
      </c>
      <c r="AA10" s="34">
        <v>37.845333491735779</v>
      </c>
      <c r="AB10" s="34">
        <v>37.708494654967694</v>
      </c>
      <c r="AC10" s="35">
        <v>44.995579939274279</v>
      </c>
      <c r="AD10" s="35">
        <v>38.388257732204501</v>
      </c>
      <c r="AE10" s="35">
        <v>42.267150987405955</v>
      </c>
      <c r="AF10" s="35">
        <v>31.374647033702207</v>
      </c>
      <c r="AG10" s="35">
        <v>44.852241944047194</v>
      </c>
      <c r="AH10" s="35">
        <v>46.284421218385617</v>
      </c>
      <c r="AI10" s="35">
        <v>57.822105942252115</v>
      </c>
      <c r="AJ10" s="35">
        <v>52.822800511083599</v>
      </c>
      <c r="AK10" s="35">
        <v>79.67756052424491</v>
      </c>
      <c r="AL10" s="35">
        <v>116.42412881033334</v>
      </c>
      <c r="AM10" s="122">
        <v>-8.646010638494217E-2</v>
      </c>
      <c r="AN10" s="122">
        <v>0.50839334062809649</v>
      </c>
      <c r="AO10" s="122">
        <v>0.46119093059967486</v>
      </c>
    </row>
    <row r="11" spans="1:41" s="15" customFormat="1" ht="19.5" customHeight="1" x14ac:dyDescent="0.45">
      <c r="A11" s="16" t="s">
        <v>75</v>
      </c>
      <c r="B11" s="146" t="s">
        <v>116</v>
      </c>
      <c r="C11" s="146" t="s">
        <v>116</v>
      </c>
      <c r="D11" s="146" t="s">
        <v>116</v>
      </c>
      <c r="E11" s="146" t="s">
        <v>116</v>
      </c>
      <c r="F11" s="146" t="s">
        <v>116</v>
      </c>
      <c r="G11" s="146" t="s">
        <v>116</v>
      </c>
      <c r="H11" s="146" t="s">
        <v>116</v>
      </c>
      <c r="I11" s="146" t="s">
        <v>116</v>
      </c>
      <c r="J11" s="36">
        <v>36.580053752110786</v>
      </c>
      <c r="K11" s="36">
        <v>37.328722742104802</v>
      </c>
      <c r="L11" s="36">
        <v>36.191846165321095</v>
      </c>
      <c r="M11" s="36">
        <v>33.254174806539716</v>
      </c>
      <c r="N11" s="36">
        <v>20.686813741221119</v>
      </c>
      <c r="O11" s="36">
        <v>28.785540925387114</v>
      </c>
      <c r="P11" s="36">
        <v>23.884705018014099</v>
      </c>
      <c r="Q11" s="36">
        <v>33.860047383734063</v>
      </c>
      <c r="R11" s="36">
        <v>35.887031240466108</v>
      </c>
      <c r="S11" s="36">
        <v>37.770271857433428</v>
      </c>
      <c r="T11" s="36">
        <v>31.677326530701425</v>
      </c>
      <c r="U11" s="36">
        <v>36.53054311923006</v>
      </c>
      <c r="V11" s="36">
        <v>31.649869918679943</v>
      </c>
      <c r="W11" s="36">
        <v>42.192009968577651</v>
      </c>
      <c r="X11" s="36">
        <v>41.842308514844454</v>
      </c>
      <c r="Y11" s="36">
        <v>36.450738655489815</v>
      </c>
      <c r="Z11" s="36">
        <v>25.643591904192725</v>
      </c>
      <c r="AA11" s="36">
        <v>30.586393149413272</v>
      </c>
      <c r="AB11" s="36">
        <v>30.577499961696887</v>
      </c>
      <c r="AC11" s="36">
        <v>38.847560715755307</v>
      </c>
      <c r="AD11" s="36">
        <v>29.792267291224324</v>
      </c>
      <c r="AE11" s="36">
        <v>33.860322785202825</v>
      </c>
      <c r="AF11" s="36">
        <v>23.989992081065278</v>
      </c>
      <c r="AG11" s="36">
        <v>37.376499340297563</v>
      </c>
      <c r="AH11" s="36">
        <v>34.929332347239956</v>
      </c>
      <c r="AI11" s="36">
        <v>43.988716752870623</v>
      </c>
      <c r="AJ11" s="36">
        <v>40.251381743093567</v>
      </c>
      <c r="AK11" s="36">
        <v>57.699464741096534</v>
      </c>
      <c r="AL11" s="36">
        <v>81.512110809000006</v>
      </c>
      <c r="AM11" s="122">
        <v>-8.49612192775131E-2</v>
      </c>
      <c r="AN11" s="122">
        <v>0.43347786442130665</v>
      </c>
      <c r="AO11" s="122">
        <v>0.41270133396823128</v>
      </c>
    </row>
    <row r="12" spans="1:41" s="15" customFormat="1" ht="19.5" customHeight="1" x14ac:dyDescent="0.45">
      <c r="A12" s="11" t="s">
        <v>76</v>
      </c>
      <c r="B12" s="145" t="s">
        <v>116</v>
      </c>
      <c r="C12" s="145" t="s">
        <v>116</v>
      </c>
      <c r="D12" s="145" t="s">
        <v>116</v>
      </c>
      <c r="E12" s="145" t="s">
        <v>116</v>
      </c>
      <c r="F12" s="145" t="s">
        <v>116</v>
      </c>
      <c r="G12" s="145" t="s">
        <v>116</v>
      </c>
      <c r="H12" s="145" t="s">
        <v>116</v>
      </c>
      <c r="I12" s="145" t="s">
        <v>116</v>
      </c>
      <c r="J12" s="145" t="s">
        <v>116</v>
      </c>
      <c r="K12" s="145" t="s">
        <v>116</v>
      </c>
      <c r="L12" s="145" t="s">
        <v>116</v>
      </c>
      <c r="M12" s="145" t="s">
        <v>116</v>
      </c>
      <c r="N12" s="145" t="s">
        <v>116</v>
      </c>
      <c r="O12" s="145" t="s">
        <v>116</v>
      </c>
      <c r="P12" s="145" t="s">
        <v>116</v>
      </c>
      <c r="Q12" s="145" t="s">
        <v>116</v>
      </c>
      <c r="R12" s="145" t="s">
        <v>116</v>
      </c>
      <c r="S12" s="145" t="s">
        <v>116</v>
      </c>
      <c r="T12" s="145" t="s">
        <v>116</v>
      </c>
      <c r="U12" s="145" t="s">
        <v>116</v>
      </c>
      <c r="V12" s="145" t="s">
        <v>116</v>
      </c>
      <c r="W12" s="145" t="s">
        <v>116</v>
      </c>
      <c r="X12" s="34">
        <v>6.9518036199511908</v>
      </c>
      <c r="Y12" s="34">
        <v>8.2753821397179674</v>
      </c>
      <c r="Z12" s="34">
        <v>5.9507222918126619</v>
      </c>
      <c r="AA12" s="34">
        <v>7.2589403423225054</v>
      </c>
      <c r="AB12" s="34">
        <v>7.1309946932708099</v>
      </c>
      <c r="AC12" s="34">
        <v>6.1480192235189648</v>
      </c>
      <c r="AD12" s="34">
        <v>8.5959904409801737</v>
      </c>
      <c r="AE12" s="34">
        <v>8.4068282022031315</v>
      </c>
      <c r="AF12" s="34">
        <v>7.3846549526369296</v>
      </c>
      <c r="AG12" s="34">
        <v>7.4757426037496302</v>
      </c>
      <c r="AH12" s="34">
        <v>11.355088871145657</v>
      </c>
      <c r="AI12" s="34">
        <v>13.833389189381492</v>
      </c>
      <c r="AJ12" s="34">
        <v>12.571418767990037</v>
      </c>
      <c r="AK12" s="34">
        <v>21.978095783148369</v>
      </c>
      <c r="AL12" s="34">
        <v>34.912018001333337</v>
      </c>
      <c r="AM12" s="122">
        <v>-9.1226409097211247E-2</v>
      </c>
      <c r="AN12" s="122">
        <v>0.74825898243960132</v>
      </c>
      <c r="AO12" s="122">
        <v>0.58849148469459345</v>
      </c>
    </row>
    <row r="13" spans="1:41" s="15" customFormat="1" ht="19.5" customHeight="1" x14ac:dyDescent="0.45">
      <c r="A13" s="16" t="s">
        <v>14</v>
      </c>
      <c r="B13" s="36">
        <v>34.957127182927579</v>
      </c>
      <c r="C13" s="36">
        <v>37.41202780516835</v>
      </c>
      <c r="D13" s="36">
        <v>37.463305384479696</v>
      </c>
      <c r="E13" s="36">
        <v>40.122690528722039</v>
      </c>
      <c r="F13" s="36">
        <v>33.946773718442387</v>
      </c>
      <c r="G13" s="36">
        <v>40.150773528945685</v>
      </c>
      <c r="H13" s="36">
        <v>38.221311906927717</v>
      </c>
      <c r="I13" s="36">
        <v>43.572939026337913</v>
      </c>
      <c r="J13" s="36">
        <v>46.487827798276662</v>
      </c>
      <c r="K13" s="36">
        <v>47.212480875095871</v>
      </c>
      <c r="L13" s="36">
        <v>36.491925488439222</v>
      </c>
      <c r="M13" s="36">
        <v>38.867974131898521</v>
      </c>
      <c r="N13" s="36">
        <v>50.253166256931365</v>
      </c>
      <c r="O13" s="36">
        <v>48.547800173661329</v>
      </c>
      <c r="P13" s="36">
        <v>49.396587085731475</v>
      </c>
      <c r="Q13" s="36">
        <v>44.806177379899658</v>
      </c>
      <c r="R13" s="36">
        <v>47.963381994773648</v>
      </c>
      <c r="S13" s="36">
        <v>65.85752570104178</v>
      </c>
      <c r="T13" s="36">
        <v>68.199083015548936</v>
      </c>
      <c r="U13" s="36">
        <v>61.700237465680388</v>
      </c>
      <c r="V13" s="36">
        <v>75.492282609667654</v>
      </c>
      <c r="W13" s="36">
        <v>84.716617035355398</v>
      </c>
      <c r="X13" s="36">
        <v>101.88810113169221</v>
      </c>
      <c r="Y13" s="36">
        <v>109.22336715312333</v>
      </c>
      <c r="Z13" s="36">
        <v>113.61045117801564</v>
      </c>
      <c r="AA13" s="36">
        <v>102.01187388148324</v>
      </c>
      <c r="AB13" s="36">
        <v>96.564231579840381</v>
      </c>
      <c r="AC13" s="37">
        <v>101.44648170844589</v>
      </c>
      <c r="AD13" s="37">
        <v>124.15232683380452</v>
      </c>
      <c r="AE13" s="37">
        <v>103.39209775359107</v>
      </c>
      <c r="AF13" s="37">
        <v>93.408597871661769</v>
      </c>
      <c r="AG13" s="37">
        <v>90.510552707041683</v>
      </c>
      <c r="AH13" s="37">
        <v>95.035036741049481</v>
      </c>
      <c r="AI13" s="37">
        <v>102.69374462228124</v>
      </c>
      <c r="AJ13" s="37">
        <v>121.64247178753784</v>
      </c>
      <c r="AK13" s="37">
        <v>121.58966638467372</v>
      </c>
      <c r="AL13" s="37">
        <v>126.47247456498501</v>
      </c>
      <c r="AM13" s="122">
        <v>0.18451685869428647</v>
      </c>
      <c r="AN13" s="122">
        <v>-4.3410333650861777E-4</v>
      </c>
      <c r="AO13" s="122">
        <v>4.0158085185163062E-2</v>
      </c>
    </row>
    <row r="14" spans="1:41" s="15" customFormat="1" ht="19.5" customHeight="1" x14ac:dyDescent="0.45">
      <c r="A14" s="11" t="s">
        <v>77</v>
      </c>
      <c r="B14" s="34">
        <v>3.2219631445194268</v>
      </c>
      <c r="C14" s="34">
        <v>5.5389740476822587</v>
      </c>
      <c r="D14" s="34">
        <v>2.685092906381894</v>
      </c>
      <c r="E14" s="34">
        <v>4.734952614103686</v>
      </c>
      <c r="F14" s="34">
        <v>2.4471272241594506</v>
      </c>
      <c r="G14" s="34">
        <v>3.4789328944929396</v>
      </c>
      <c r="H14" s="34">
        <v>4.1263017273676859</v>
      </c>
      <c r="I14" s="34">
        <v>1.8209864311692556</v>
      </c>
      <c r="J14" s="34">
        <v>3.5820930345812205</v>
      </c>
      <c r="K14" s="34">
        <v>2.9583679510252998</v>
      </c>
      <c r="L14" s="34">
        <v>2.9550129794269582</v>
      </c>
      <c r="M14" s="34">
        <v>3.0070683033607875</v>
      </c>
      <c r="N14" s="34">
        <v>3.0419264476762247</v>
      </c>
      <c r="O14" s="34">
        <v>3.2375989169244375</v>
      </c>
      <c r="P14" s="34">
        <v>2.8870555880935269</v>
      </c>
      <c r="Q14" s="34">
        <v>3.3142222767298506</v>
      </c>
      <c r="R14" s="34">
        <v>2.4258973183846866</v>
      </c>
      <c r="S14" s="34">
        <v>2.3082722312007027</v>
      </c>
      <c r="T14" s="34">
        <v>2.474413461140847</v>
      </c>
      <c r="U14" s="34">
        <v>3.9123336938249977</v>
      </c>
      <c r="V14" s="34">
        <v>3.553920679786128</v>
      </c>
      <c r="W14" s="34">
        <v>5.8433963944651302</v>
      </c>
      <c r="X14" s="34">
        <v>2.3030668654447704</v>
      </c>
      <c r="Y14" s="34">
        <v>2.9940171701757783</v>
      </c>
      <c r="Z14" s="34">
        <v>6.6350222548335234</v>
      </c>
      <c r="AA14" s="34">
        <v>7.7601356799909951</v>
      </c>
      <c r="AB14" s="34">
        <v>5.8714258785226781</v>
      </c>
      <c r="AC14" s="35">
        <v>6.6925637119439223</v>
      </c>
      <c r="AD14" s="35">
        <v>3.3838357454033576</v>
      </c>
      <c r="AE14" s="147" t="s">
        <v>116</v>
      </c>
      <c r="AF14" s="147" t="s">
        <v>116</v>
      </c>
      <c r="AG14" s="147" t="s">
        <v>116</v>
      </c>
      <c r="AH14" s="147" t="s">
        <v>116</v>
      </c>
      <c r="AI14" s="147" t="s">
        <v>116</v>
      </c>
      <c r="AJ14" s="147" t="s">
        <v>116</v>
      </c>
      <c r="AK14" s="147" t="s">
        <v>116</v>
      </c>
      <c r="AL14" s="147" t="s">
        <v>116</v>
      </c>
      <c r="AM14" s="122" t="s">
        <v>116</v>
      </c>
      <c r="AN14" s="122" t="s">
        <v>116</v>
      </c>
      <c r="AO14" s="122" t="s">
        <v>116</v>
      </c>
    </row>
    <row r="15" spans="1:41" s="15" customFormat="1" ht="19.5" customHeight="1" x14ac:dyDescent="0.45">
      <c r="A15" s="16" t="s">
        <v>15</v>
      </c>
      <c r="B15" s="36">
        <v>20.253973653359949</v>
      </c>
      <c r="C15" s="36">
        <v>16.856174718409395</v>
      </c>
      <c r="D15" s="36">
        <v>18.319509941701735</v>
      </c>
      <c r="E15" s="36">
        <v>17.621857903086763</v>
      </c>
      <c r="F15" s="36">
        <v>18.402666822246871</v>
      </c>
      <c r="G15" s="36">
        <v>25.069356895767307</v>
      </c>
      <c r="H15" s="36">
        <v>14.778899637020981</v>
      </c>
      <c r="I15" s="36">
        <v>13.534212134511806</v>
      </c>
      <c r="J15" s="36">
        <v>14.050561533351351</v>
      </c>
      <c r="K15" s="36">
        <v>18.477095282852247</v>
      </c>
      <c r="L15" s="36">
        <v>15.483944964646589</v>
      </c>
      <c r="M15" s="36">
        <v>12.027573720539047</v>
      </c>
      <c r="N15" s="36">
        <v>13.502689039608034</v>
      </c>
      <c r="O15" s="36">
        <v>17.926416306859522</v>
      </c>
      <c r="P15" s="36">
        <v>18.539671052127542</v>
      </c>
      <c r="Q15" s="36">
        <v>12.976687134843987</v>
      </c>
      <c r="R15" s="36">
        <v>14.111700307046597</v>
      </c>
      <c r="S15" s="36">
        <v>14.485777812447555</v>
      </c>
      <c r="T15" s="36">
        <v>13.855738470942967</v>
      </c>
      <c r="U15" s="36">
        <v>24.837310308417095</v>
      </c>
      <c r="V15" s="36">
        <v>16.865239705041088</v>
      </c>
      <c r="W15" s="36">
        <v>15.224211354582321</v>
      </c>
      <c r="X15" s="36">
        <v>14.953564891244849</v>
      </c>
      <c r="Y15" s="36">
        <v>17.604573062248342</v>
      </c>
      <c r="Z15" s="36">
        <v>18.448313530489788</v>
      </c>
      <c r="AA15" s="36">
        <v>16.718803734086894</v>
      </c>
      <c r="AB15" s="36">
        <v>15.969928772081278</v>
      </c>
      <c r="AC15" s="37">
        <v>20.635069868479935</v>
      </c>
      <c r="AD15" s="37">
        <v>15.123942412046086</v>
      </c>
      <c r="AE15" s="37">
        <v>9.7837161262374437</v>
      </c>
      <c r="AF15" s="37">
        <v>15.33675936088356</v>
      </c>
      <c r="AG15" s="37">
        <v>16.982633075311949</v>
      </c>
      <c r="AH15" s="37">
        <v>14.44646850235376</v>
      </c>
      <c r="AI15" s="37">
        <v>15.908557155165807</v>
      </c>
      <c r="AJ15" s="37">
        <v>15.991279811286002</v>
      </c>
      <c r="AK15" s="37">
        <v>14.964342602970715</v>
      </c>
      <c r="AL15" s="37">
        <v>15.031862967866669</v>
      </c>
      <c r="AM15" s="122">
        <v>5.1998842706695303E-3</v>
      </c>
      <c r="AN15" s="122">
        <v>-6.4218575400732836E-2</v>
      </c>
      <c r="AO15" s="122">
        <v>4.5120836034955314E-3</v>
      </c>
    </row>
    <row r="16" spans="1:41" s="15" customFormat="1" ht="19.5" customHeight="1" x14ac:dyDescent="0.45">
      <c r="A16" s="11" t="s">
        <v>78</v>
      </c>
      <c r="B16" s="34">
        <v>6.9139547392301299</v>
      </c>
      <c r="C16" s="34">
        <v>7.1836489867806685</v>
      </c>
      <c r="D16" s="34">
        <v>6.5686671049699568</v>
      </c>
      <c r="E16" s="34">
        <v>13.319812507763952</v>
      </c>
      <c r="F16" s="34">
        <v>13.42252903468351</v>
      </c>
      <c r="G16" s="34">
        <v>9.1654539974234481</v>
      </c>
      <c r="H16" s="34">
        <v>7.5429603921669388</v>
      </c>
      <c r="I16" s="34">
        <v>8.7670747164545411</v>
      </c>
      <c r="J16" s="34">
        <v>9.8492232503627442</v>
      </c>
      <c r="K16" s="34">
        <v>8.30503257605519</v>
      </c>
      <c r="L16" s="34">
        <v>9.7088809566201117</v>
      </c>
      <c r="M16" s="34">
        <v>8.1484045023796803</v>
      </c>
      <c r="N16" s="34">
        <v>7.8650872263111724</v>
      </c>
      <c r="O16" s="34">
        <v>9.1519633907924689</v>
      </c>
      <c r="P16" s="34">
        <v>9.8913745612271935</v>
      </c>
      <c r="Q16" s="34">
        <v>14.551157428039675</v>
      </c>
      <c r="R16" s="34">
        <v>14.294294537226587</v>
      </c>
      <c r="S16" s="34">
        <v>14.583956444264574</v>
      </c>
      <c r="T16" s="34">
        <v>15.127117692735633</v>
      </c>
      <c r="U16" s="34">
        <v>14.880413665414025</v>
      </c>
      <c r="V16" s="34">
        <v>14.99303160516679</v>
      </c>
      <c r="W16" s="34">
        <v>12.322758997413247</v>
      </c>
      <c r="X16" s="34">
        <v>12.219942989646871</v>
      </c>
      <c r="Y16" s="34">
        <v>13.066633335836602</v>
      </c>
      <c r="Z16" s="34">
        <v>14.845785017618628</v>
      </c>
      <c r="AA16" s="34">
        <v>15.152001799141965</v>
      </c>
      <c r="AB16" s="34">
        <v>14.650156144749159</v>
      </c>
      <c r="AC16" s="35">
        <v>10.399941907000388</v>
      </c>
      <c r="AD16" s="147" t="s">
        <v>116</v>
      </c>
      <c r="AE16" s="147" t="s">
        <v>116</v>
      </c>
      <c r="AF16" s="147" t="s">
        <v>116</v>
      </c>
      <c r="AG16" s="147" t="s">
        <v>116</v>
      </c>
      <c r="AH16" s="147" t="s">
        <v>116</v>
      </c>
      <c r="AI16" s="147" t="s">
        <v>116</v>
      </c>
      <c r="AJ16" s="147" t="s">
        <v>116</v>
      </c>
      <c r="AK16" s="147" t="s">
        <v>116</v>
      </c>
      <c r="AL16" s="147" t="s">
        <v>116</v>
      </c>
      <c r="AM16" s="122" t="s">
        <v>116</v>
      </c>
      <c r="AN16" s="122" t="s">
        <v>116</v>
      </c>
      <c r="AO16" s="122" t="s">
        <v>116</v>
      </c>
    </row>
    <row r="17" spans="1:41" s="15" customFormat="1" ht="19.5" customHeight="1" x14ac:dyDescent="0.45">
      <c r="A17" s="16" t="s">
        <v>16</v>
      </c>
      <c r="B17" s="36">
        <v>25.512716434533786</v>
      </c>
      <c r="C17" s="36">
        <v>26.232891361585352</v>
      </c>
      <c r="D17" s="36">
        <v>24.10143632236651</v>
      </c>
      <c r="E17" s="36">
        <v>22.891082902768741</v>
      </c>
      <c r="F17" s="36">
        <v>19.536618177727096</v>
      </c>
      <c r="G17" s="36">
        <v>23.331044750062336</v>
      </c>
      <c r="H17" s="36">
        <v>25.501427948124611</v>
      </c>
      <c r="I17" s="36">
        <v>17.523746617413124</v>
      </c>
      <c r="J17" s="36">
        <v>21.665418970688776</v>
      </c>
      <c r="K17" s="36">
        <v>23.64913725270068</v>
      </c>
      <c r="L17" s="36">
        <v>23.353530705429161</v>
      </c>
      <c r="M17" s="36">
        <v>14.831657616216345</v>
      </c>
      <c r="N17" s="36">
        <v>26.607984965582475</v>
      </c>
      <c r="O17" s="36">
        <v>32.1811760702874</v>
      </c>
      <c r="P17" s="36">
        <v>26.893812949064891</v>
      </c>
      <c r="Q17" s="36">
        <v>24.028681535887664</v>
      </c>
      <c r="R17" s="36">
        <v>22.947954163535453</v>
      </c>
      <c r="S17" s="36">
        <v>27.364242787952623</v>
      </c>
      <c r="T17" s="36">
        <v>25.787743787256368</v>
      </c>
      <c r="U17" s="36">
        <v>26.541110124299621</v>
      </c>
      <c r="V17" s="36">
        <v>23.252964433565644</v>
      </c>
      <c r="W17" s="36">
        <v>30.182967556483451</v>
      </c>
      <c r="X17" s="36">
        <v>33.549427427821819</v>
      </c>
      <c r="Y17" s="36">
        <v>19.912022954162346</v>
      </c>
      <c r="Z17" s="36">
        <v>21.530332954640713</v>
      </c>
      <c r="AA17" s="36">
        <v>25.970940541256621</v>
      </c>
      <c r="AB17" s="36">
        <v>21.962396165338202</v>
      </c>
      <c r="AC17" s="37">
        <v>23.421350346140738</v>
      </c>
      <c r="AD17" s="37">
        <v>26.032628939443274</v>
      </c>
      <c r="AE17" s="37">
        <v>21.117030850796098</v>
      </c>
      <c r="AF17" s="37">
        <v>21.125783688628779</v>
      </c>
      <c r="AG17" s="37">
        <v>19.163443058786424</v>
      </c>
      <c r="AH17" s="37">
        <v>18.745646698066295</v>
      </c>
      <c r="AI17" s="37">
        <v>18.017117866646718</v>
      </c>
      <c r="AJ17" s="37">
        <v>22.091677623573556</v>
      </c>
      <c r="AK17" s="37">
        <v>28.599837972495639</v>
      </c>
      <c r="AL17" s="37">
        <v>33.08615309539168</v>
      </c>
      <c r="AM17" s="122">
        <v>0.22614936457010493</v>
      </c>
      <c r="AN17" s="122">
        <v>0.29459783271404261</v>
      </c>
      <c r="AO17" s="122">
        <v>0.15686505382339977</v>
      </c>
    </row>
    <row r="18" spans="1:41" s="15" customFormat="1" ht="19.5" customHeight="1" x14ac:dyDescent="0.45">
      <c r="A18" s="11" t="s">
        <v>17</v>
      </c>
      <c r="B18" s="34">
        <v>0.48318935803710011</v>
      </c>
      <c r="C18" s="34">
        <v>0.32859181555948835</v>
      </c>
      <c r="D18" s="34">
        <v>0.2447132614398197</v>
      </c>
      <c r="E18" s="34">
        <v>0.20864950901747875</v>
      </c>
      <c r="F18" s="34">
        <v>0.10587839614055736</v>
      </c>
      <c r="G18" s="34">
        <v>0.12367101236284266</v>
      </c>
      <c r="H18" s="34">
        <v>7.8137616486668213E-2</v>
      </c>
      <c r="I18" s="34">
        <v>9.5218667568711571E-2</v>
      </c>
      <c r="J18" s="34">
        <v>0.19909537923134851</v>
      </c>
      <c r="K18" s="34">
        <v>3.1799277383845789E-2</v>
      </c>
      <c r="L18" s="34">
        <v>7.709686289980433E-2</v>
      </c>
      <c r="M18" s="34">
        <v>0.32366079432427353</v>
      </c>
      <c r="N18" s="34">
        <v>0.21914433955039769</v>
      </c>
      <c r="O18" s="34">
        <v>0.16543645757293887</v>
      </c>
      <c r="P18" s="34">
        <v>0.22363793717204514</v>
      </c>
      <c r="Q18" s="34">
        <v>0.4160952198924972</v>
      </c>
      <c r="R18" s="34">
        <v>0.40121820589969454</v>
      </c>
      <c r="S18" s="34">
        <v>0.1840949261931793</v>
      </c>
      <c r="T18" s="34">
        <v>0.19987911633104008</v>
      </c>
      <c r="U18" s="34">
        <v>0.26468688407274921</v>
      </c>
      <c r="V18" s="145" t="s">
        <v>116</v>
      </c>
      <c r="W18" s="145" t="s">
        <v>116</v>
      </c>
      <c r="X18" s="34">
        <v>0.35335744830430937</v>
      </c>
      <c r="Y18" s="34">
        <v>8.1188005974681676E-2</v>
      </c>
      <c r="Z18" s="34">
        <v>3.9288852745624679E-2</v>
      </c>
      <c r="AA18" s="34">
        <v>0.11326787148667648</v>
      </c>
      <c r="AB18" s="34">
        <v>0.12568707211660024</v>
      </c>
      <c r="AC18" s="35">
        <v>8.2576821793273289E-2</v>
      </c>
      <c r="AD18" s="35">
        <v>5.008529042663562E-2</v>
      </c>
      <c r="AE18" s="35">
        <v>8.1733128591330556E-2</v>
      </c>
      <c r="AF18" s="35">
        <v>0.10545875987172366</v>
      </c>
      <c r="AG18" s="35">
        <v>0.12889889176893782</v>
      </c>
      <c r="AH18" s="35">
        <v>9.928392823658104E-2</v>
      </c>
      <c r="AI18" s="35">
        <v>0.12881133762878752</v>
      </c>
      <c r="AJ18" s="35">
        <v>0.11012059681271692</v>
      </c>
      <c r="AK18" s="35">
        <v>0.12448497867157206</v>
      </c>
      <c r="AL18" s="35">
        <v>0.17495544733333335</v>
      </c>
      <c r="AM18" s="122">
        <v>-0.14510167474492153</v>
      </c>
      <c r="AN18" s="122">
        <v>0.13044228123177337</v>
      </c>
      <c r="AO18" s="122">
        <v>0.40543420740680047</v>
      </c>
    </row>
    <row r="19" spans="1:41" s="15" customFormat="1" ht="19.5" customHeight="1" x14ac:dyDescent="0.45">
      <c r="A19" s="16" t="s">
        <v>18</v>
      </c>
      <c r="B19" s="36">
        <v>14.959052947449829</v>
      </c>
      <c r="C19" s="36">
        <v>12.97303624554096</v>
      </c>
      <c r="D19" s="36">
        <v>14.256616852113991</v>
      </c>
      <c r="E19" s="36">
        <v>14.822754170539518</v>
      </c>
      <c r="F19" s="36">
        <v>13.00053534951642</v>
      </c>
      <c r="G19" s="36">
        <v>11.081277022549946</v>
      </c>
      <c r="H19" s="36">
        <v>16.849249959277721</v>
      </c>
      <c r="I19" s="36">
        <v>12.31901725277927</v>
      </c>
      <c r="J19" s="36">
        <v>12.850468101600285</v>
      </c>
      <c r="K19" s="36">
        <v>11.692704675130182</v>
      </c>
      <c r="L19" s="36">
        <v>12.331837199356404</v>
      </c>
      <c r="M19" s="36">
        <v>11.44543525797658</v>
      </c>
      <c r="N19" s="36">
        <v>9.0238693626230351</v>
      </c>
      <c r="O19" s="36">
        <v>9.2170006215931704</v>
      </c>
      <c r="P19" s="36">
        <v>12.950460845911064</v>
      </c>
      <c r="Q19" s="36">
        <v>17.068521592740932</v>
      </c>
      <c r="R19" s="36">
        <v>15.963230095338078</v>
      </c>
      <c r="S19" s="36">
        <v>15.283289263831444</v>
      </c>
      <c r="T19" s="36">
        <v>14.23903185583284</v>
      </c>
      <c r="U19" s="36">
        <v>15.285073887304433</v>
      </c>
      <c r="V19" s="36">
        <v>15.286144947246139</v>
      </c>
      <c r="W19" s="36">
        <v>15.955332424122631</v>
      </c>
      <c r="X19" s="36">
        <v>15.147308982021073</v>
      </c>
      <c r="Y19" s="36">
        <v>13.748659398017526</v>
      </c>
      <c r="Z19" s="36">
        <v>14.717909195008524</v>
      </c>
      <c r="AA19" s="36">
        <v>15.694009805279704</v>
      </c>
      <c r="AB19" s="36">
        <v>13.941520657974113</v>
      </c>
      <c r="AC19" s="37">
        <v>11.717282723033785</v>
      </c>
      <c r="AD19" s="37">
        <v>21.949687152539191</v>
      </c>
      <c r="AE19" s="37">
        <v>16.571849841381855</v>
      </c>
      <c r="AF19" s="37">
        <v>13.596472348475244</v>
      </c>
      <c r="AG19" s="37">
        <v>13.533546823504583</v>
      </c>
      <c r="AH19" s="37">
        <v>12.754378590332085</v>
      </c>
      <c r="AI19" s="37">
        <v>15.049432046429008</v>
      </c>
      <c r="AJ19" s="37">
        <v>21.643917183170686</v>
      </c>
      <c r="AK19" s="37">
        <v>19.643701562864592</v>
      </c>
      <c r="AL19" s="37">
        <v>20.500737259862571</v>
      </c>
      <c r="AM19" s="122">
        <v>0.43818830613653925</v>
      </c>
      <c r="AN19" s="122">
        <v>-9.2414677222169783E-2</v>
      </c>
      <c r="AO19" s="122">
        <v>4.3629032657376499E-2</v>
      </c>
    </row>
    <row r="20" spans="1:41" s="15" customFormat="1" ht="19.5" customHeight="1" x14ac:dyDescent="0.45">
      <c r="A20" s="11" t="s">
        <v>19</v>
      </c>
      <c r="B20" s="34">
        <v>42.375483546801703</v>
      </c>
      <c r="C20" s="34">
        <v>37.965353786018781</v>
      </c>
      <c r="D20" s="34">
        <v>41.501083041147005</v>
      </c>
      <c r="E20" s="34">
        <v>49.546988608423426</v>
      </c>
      <c r="F20" s="34">
        <v>50.72452933757554</v>
      </c>
      <c r="G20" s="34">
        <v>43.797136987554339</v>
      </c>
      <c r="H20" s="34">
        <v>41.070332779895928</v>
      </c>
      <c r="I20" s="34">
        <v>38.734721699042986</v>
      </c>
      <c r="J20" s="34">
        <v>34.58116862784815</v>
      </c>
      <c r="K20" s="34">
        <v>34.292768141826386</v>
      </c>
      <c r="L20" s="34">
        <v>39.792803856998752</v>
      </c>
      <c r="M20" s="34">
        <v>41.596045503449979</v>
      </c>
      <c r="N20" s="34">
        <v>39.43045323994172</v>
      </c>
      <c r="O20" s="34">
        <v>47.759046496420545</v>
      </c>
      <c r="P20" s="34">
        <v>63.490722322251472</v>
      </c>
      <c r="Q20" s="34">
        <v>47.936110232816858</v>
      </c>
      <c r="R20" s="34">
        <v>36.232025763959804</v>
      </c>
      <c r="S20" s="34">
        <v>39.397188593941557</v>
      </c>
      <c r="T20" s="34">
        <v>58.300674441933502</v>
      </c>
      <c r="U20" s="34">
        <v>70.212668570493335</v>
      </c>
      <c r="V20" s="34">
        <v>47.49097732910289</v>
      </c>
      <c r="W20" s="34">
        <v>46.38763354656917</v>
      </c>
      <c r="X20" s="34">
        <v>61.886624732710835</v>
      </c>
      <c r="Y20" s="34">
        <v>76.584814789476582</v>
      </c>
      <c r="Z20" s="34">
        <v>80.310985839192</v>
      </c>
      <c r="AA20" s="34">
        <v>76.1390527639835</v>
      </c>
      <c r="AB20" s="34">
        <v>79.955907972890344</v>
      </c>
      <c r="AC20" s="35">
        <v>76.028289740182757</v>
      </c>
      <c r="AD20" s="35">
        <v>87.291603341583723</v>
      </c>
      <c r="AE20" s="35">
        <v>79.90116280671694</v>
      </c>
      <c r="AF20" s="35">
        <v>100.80764496666448</v>
      </c>
      <c r="AG20" s="35">
        <v>127.22519345774496</v>
      </c>
      <c r="AH20" s="35">
        <v>136.85086244394697</v>
      </c>
      <c r="AI20" s="35">
        <v>153.77240082932079</v>
      </c>
      <c r="AJ20" s="35">
        <v>151.9356786619897</v>
      </c>
      <c r="AK20" s="35">
        <v>125.95115424908845</v>
      </c>
      <c r="AL20" s="35">
        <v>146.99716807301743</v>
      </c>
      <c r="AM20" s="122">
        <v>-1.194442017829811E-2</v>
      </c>
      <c r="AN20" s="122">
        <v>-0.17102318982435227</v>
      </c>
      <c r="AO20" s="122">
        <v>0.16709663320994372</v>
      </c>
    </row>
    <row r="21" spans="1:41" s="15" customFormat="1" ht="19.5" customHeight="1" x14ac:dyDescent="0.45">
      <c r="A21" s="16" t="s">
        <v>79</v>
      </c>
      <c r="B21" s="36">
        <v>1.3468763213287069</v>
      </c>
      <c r="C21" s="36">
        <v>0.86628799012630908</v>
      </c>
      <c r="D21" s="36">
        <v>0.69335121354143969</v>
      </c>
      <c r="E21" s="36">
        <v>0.27019559740740617</v>
      </c>
      <c r="F21" s="36">
        <v>0.3973757007792571</v>
      </c>
      <c r="G21" s="36">
        <v>0.52223344950028483</v>
      </c>
      <c r="H21" s="36">
        <v>0.53300589537401566</v>
      </c>
      <c r="I21" s="36">
        <v>0.44583256163961615</v>
      </c>
      <c r="J21" s="36">
        <v>0.60482954123919475</v>
      </c>
      <c r="K21" s="36">
        <v>0.79844337142610644</v>
      </c>
      <c r="L21" s="36">
        <v>1.1713025420885392</v>
      </c>
      <c r="M21" s="36">
        <v>1.6371875199675798</v>
      </c>
      <c r="N21" s="36">
        <v>0.8596592402670038</v>
      </c>
      <c r="O21" s="36">
        <v>0.97900959050806713</v>
      </c>
      <c r="P21" s="36">
        <v>1.02568622950226</v>
      </c>
      <c r="Q21" s="36">
        <v>0.74982650686050423</v>
      </c>
      <c r="R21" s="36">
        <v>0.78579058178911609</v>
      </c>
      <c r="S21" s="36">
        <v>0.7435855662863432</v>
      </c>
      <c r="T21" s="36">
        <v>0.88719455159491767</v>
      </c>
      <c r="U21" s="36">
        <v>0.85591748052444339</v>
      </c>
      <c r="V21" s="36">
        <v>0.74006552966944428</v>
      </c>
      <c r="W21" s="36">
        <v>0.77389374570377001</v>
      </c>
      <c r="X21" s="36">
        <v>0.95334201087658998</v>
      </c>
      <c r="Y21" s="36">
        <v>1.0699416102248331</v>
      </c>
      <c r="Z21" s="36">
        <v>1.0782906191946522</v>
      </c>
      <c r="AA21" s="36">
        <v>1.4778982783676224</v>
      </c>
      <c r="AB21" s="36">
        <v>2.5679899262270358</v>
      </c>
      <c r="AC21" s="37">
        <v>2.4675847641041901</v>
      </c>
      <c r="AD21" s="37">
        <v>2.4693396654802049</v>
      </c>
      <c r="AE21" s="148" t="s">
        <v>116</v>
      </c>
      <c r="AF21" s="148" t="s">
        <v>116</v>
      </c>
      <c r="AG21" s="148" t="s">
        <v>116</v>
      </c>
      <c r="AH21" s="148" t="s">
        <v>116</v>
      </c>
      <c r="AI21" s="148" t="s">
        <v>116</v>
      </c>
      <c r="AJ21" s="148" t="s">
        <v>116</v>
      </c>
      <c r="AK21" s="148" t="s">
        <v>116</v>
      </c>
      <c r="AL21" s="148" t="s">
        <v>116</v>
      </c>
      <c r="AM21" s="122" t="s">
        <v>116</v>
      </c>
      <c r="AN21" s="122" t="s">
        <v>116</v>
      </c>
      <c r="AO21" s="122" t="s">
        <v>116</v>
      </c>
    </row>
    <row r="22" spans="1:41" s="15" customFormat="1" ht="19.5" customHeight="1" x14ac:dyDescent="0.45">
      <c r="A22" s="11" t="s">
        <v>20</v>
      </c>
      <c r="B22" s="34">
        <v>62.25993442047573</v>
      </c>
      <c r="C22" s="34">
        <v>39.757992668065093</v>
      </c>
      <c r="D22" s="34">
        <v>36.498737585563468</v>
      </c>
      <c r="E22" s="34">
        <v>49.834222506751814</v>
      </c>
      <c r="F22" s="34">
        <v>57.493383307936057</v>
      </c>
      <c r="G22" s="34">
        <v>51.086310059060892</v>
      </c>
      <c r="H22" s="34">
        <v>41.795040575753561</v>
      </c>
      <c r="I22" s="34">
        <v>48.629633090393426</v>
      </c>
      <c r="J22" s="34">
        <v>59.464450378887832</v>
      </c>
      <c r="K22" s="34">
        <v>56.933513614457709</v>
      </c>
      <c r="L22" s="34">
        <v>59.246083316611227</v>
      </c>
      <c r="M22" s="34">
        <v>59.868105621346828</v>
      </c>
      <c r="N22" s="34">
        <v>77.633179799380343</v>
      </c>
      <c r="O22" s="34">
        <v>107.61686817101972</v>
      </c>
      <c r="P22" s="34">
        <v>132.82984068559162</v>
      </c>
      <c r="Q22" s="34">
        <v>124.17252201208493</v>
      </c>
      <c r="R22" s="34">
        <v>88.682664883343733</v>
      </c>
      <c r="S22" s="34">
        <v>77.520039977547086</v>
      </c>
      <c r="T22" s="34">
        <v>98.302406819790505</v>
      </c>
      <c r="U22" s="34">
        <v>128.31233813405083</v>
      </c>
      <c r="V22" s="34">
        <v>124.48704220549773</v>
      </c>
      <c r="W22" s="34">
        <v>121.9563856711449</v>
      </c>
      <c r="X22" s="34">
        <v>136.120287129063</v>
      </c>
      <c r="Y22" s="34">
        <v>159.01564720601667</v>
      </c>
      <c r="Z22" s="34">
        <v>188.22680935924308</v>
      </c>
      <c r="AA22" s="34">
        <v>190.6031419175109</v>
      </c>
      <c r="AB22" s="34">
        <v>209.56689909797936</v>
      </c>
      <c r="AC22" s="35">
        <v>210.91251751407486</v>
      </c>
      <c r="AD22" s="35">
        <v>215.3727293460978</v>
      </c>
      <c r="AE22" s="35">
        <v>241.40499231762342</v>
      </c>
      <c r="AF22" s="35">
        <v>218.21715023924261</v>
      </c>
      <c r="AG22" s="35">
        <v>311.72074032261827</v>
      </c>
      <c r="AH22" s="35">
        <v>397.67809722941797</v>
      </c>
      <c r="AI22" s="35">
        <v>349.80814508750541</v>
      </c>
      <c r="AJ22" s="35">
        <v>358.13649669397125</v>
      </c>
      <c r="AK22" s="35">
        <v>301.20607307159838</v>
      </c>
      <c r="AL22" s="35">
        <v>341.56981518514289</v>
      </c>
      <c r="AM22" s="122">
        <v>2.3808341010420175E-2</v>
      </c>
      <c r="AN22" s="122">
        <v>-0.15896292097540698</v>
      </c>
      <c r="AO22" s="122">
        <v>0.1340070659994621</v>
      </c>
    </row>
    <row r="23" spans="1:41" s="15" customFormat="1" ht="19.5" customHeight="1" x14ac:dyDescent="0.45">
      <c r="A23" s="16" t="s">
        <v>21</v>
      </c>
      <c r="B23" s="36">
        <v>8.5608849667310363</v>
      </c>
      <c r="C23" s="36">
        <v>10.559393288399336</v>
      </c>
      <c r="D23" s="36">
        <v>8.5351646796370844</v>
      </c>
      <c r="E23" s="36">
        <v>6.6310313650019284</v>
      </c>
      <c r="F23" s="36">
        <v>7.2304524303254158</v>
      </c>
      <c r="G23" s="36">
        <v>12.015659979399976</v>
      </c>
      <c r="H23" s="36">
        <v>10.476437652859881</v>
      </c>
      <c r="I23" s="36">
        <v>8.2796104370059567</v>
      </c>
      <c r="J23" s="36">
        <v>7.2838568695231611</v>
      </c>
      <c r="K23" s="36">
        <v>9.1883872812369631</v>
      </c>
      <c r="L23" s="36">
        <v>9.2586097333309159</v>
      </c>
      <c r="M23" s="36">
        <v>8.4052913250080188</v>
      </c>
      <c r="N23" s="36">
        <v>7.7314185203681562</v>
      </c>
      <c r="O23" s="36">
        <v>9.367002583572992</v>
      </c>
      <c r="P23" s="36">
        <v>11.129198430876739</v>
      </c>
      <c r="Q23" s="36">
        <v>12.198512968600042</v>
      </c>
      <c r="R23" s="36">
        <v>11.553957391950958</v>
      </c>
      <c r="S23" s="36">
        <v>10.015964449760894</v>
      </c>
      <c r="T23" s="36">
        <v>11.190622643810414</v>
      </c>
      <c r="U23" s="36">
        <v>12.40735005102788</v>
      </c>
      <c r="V23" s="36">
        <v>14.721035234336389</v>
      </c>
      <c r="W23" s="36">
        <v>14.645693979878418</v>
      </c>
      <c r="X23" s="36">
        <v>16.080937273223995</v>
      </c>
      <c r="Y23" s="36">
        <v>15.07039746719866</v>
      </c>
      <c r="Z23" s="36">
        <v>28.694481852291556</v>
      </c>
      <c r="AA23" s="36">
        <v>30.139330472402985</v>
      </c>
      <c r="AB23" s="36">
        <v>27.944811082058312</v>
      </c>
      <c r="AC23" s="37">
        <v>15.931321225264723</v>
      </c>
      <c r="AD23" s="37">
        <v>15.050218057860651</v>
      </c>
      <c r="AE23" s="37">
        <v>15.901595033637847</v>
      </c>
      <c r="AF23" s="37">
        <v>16.412332246146644</v>
      </c>
      <c r="AG23" s="37">
        <v>14.255815819156938</v>
      </c>
      <c r="AH23" s="37">
        <v>12.572683053813282</v>
      </c>
      <c r="AI23" s="37">
        <v>15.48772688588633</v>
      </c>
      <c r="AJ23" s="37">
        <v>19.080175002936741</v>
      </c>
      <c r="AK23" s="37">
        <v>20.70726523979604</v>
      </c>
      <c r="AL23" s="37">
        <v>16.565426168523413</v>
      </c>
      <c r="AM23" s="122">
        <v>0.231954511047334</v>
      </c>
      <c r="AN23" s="122">
        <v>8.5276483921602697E-2</v>
      </c>
      <c r="AO23" s="122">
        <v>-0.20001864192634566</v>
      </c>
    </row>
    <row r="24" spans="1:41" s="15" customFormat="1" ht="19.5" customHeight="1" x14ac:dyDescent="0.45">
      <c r="A24" s="11" t="s">
        <v>22</v>
      </c>
      <c r="B24" s="34">
        <v>11.279731530233809</v>
      </c>
      <c r="C24" s="34">
        <v>5.0023689178167938</v>
      </c>
      <c r="D24" s="34">
        <v>4.5139773470026601</v>
      </c>
      <c r="E24" s="34">
        <v>5.4192808471860259</v>
      </c>
      <c r="F24" s="34">
        <v>3.557405347873559</v>
      </c>
      <c r="G24" s="34">
        <v>3.0231770143380037</v>
      </c>
      <c r="H24" s="34">
        <v>2.187364531853726</v>
      </c>
      <c r="I24" s="34">
        <v>5.6438691592489905</v>
      </c>
      <c r="J24" s="34">
        <v>3.1349338757657845</v>
      </c>
      <c r="K24" s="34">
        <v>2.8130086856423731</v>
      </c>
      <c r="L24" s="34">
        <v>3.5152887824992671</v>
      </c>
      <c r="M24" s="34">
        <v>2.386237623312657</v>
      </c>
      <c r="N24" s="34">
        <v>4.8830812203946978</v>
      </c>
      <c r="O24" s="34">
        <v>5.8936499220018073</v>
      </c>
      <c r="P24" s="34">
        <v>11.615790755199978</v>
      </c>
      <c r="Q24" s="34">
        <v>9.0471364228670517</v>
      </c>
      <c r="R24" s="34">
        <v>5.7658846997858904</v>
      </c>
      <c r="S24" s="34">
        <v>2.9721912085006421</v>
      </c>
      <c r="T24" s="34">
        <v>6.0832523237733911</v>
      </c>
      <c r="U24" s="34">
        <v>9.2366099537049795</v>
      </c>
      <c r="V24" s="34">
        <v>6.3904790767663275</v>
      </c>
      <c r="W24" s="34">
        <v>7.1582640153327084</v>
      </c>
      <c r="X24" s="34">
        <v>6.1674736582218932</v>
      </c>
      <c r="Y24" s="34">
        <v>7.392475236947134</v>
      </c>
      <c r="Z24" s="34">
        <v>9.8615022623321522</v>
      </c>
      <c r="AA24" s="34">
        <v>8.4299900448148648</v>
      </c>
      <c r="AB24" s="34">
        <v>6.9440770544161783</v>
      </c>
      <c r="AC24" s="35">
        <v>9.0905665101284487</v>
      </c>
      <c r="AD24" s="35">
        <v>4.6197657331985154</v>
      </c>
      <c r="AE24" s="35">
        <v>7.4422292207061789</v>
      </c>
      <c r="AF24" s="35">
        <v>7.1152752267204127</v>
      </c>
      <c r="AG24" s="35">
        <v>10.334881505882631</v>
      </c>
      <c r="AH24" s="35">
        <v>13.574157710455204</v>
      </c>
      <c r="AI24" s="35">
        <v>19.103647062156277</v>
      </c>
      <c r="AJ24" s="35">
        <v>11.139805245911386</v>
      </c>
      <c r="AK24" s="35">
        <v>10.623486720606543</v>
      </c>
      <c r="AL24" s="35">
        <v>9.7546853515249996</v>
      </c>
      <c r="AM24" s="122">
        <v>-0.41687546835080569</v>
      </c>
      <c r="AN24" s="122">
        <v>-4.6348972347999173E-2</v>
      </c>
      <c r="AO24" s="122">
        <v>-8.1781188411175432E-2</v>
      </c>
    </row>
    <row r="25" spans="1:41" s="15" customFormat="1" ht="19.5" customHeight="1" x14ac:dyDescent="0.45">
      <c r="A25" s="16" t="s">
        <v>23</v>
      </c>
      <c r="B25" s="36">
        <v>2.4018088840348488</v>
      </c>
      <c r="C25" s="36">
        <v>2.7615554974552752</v>
      </c>
      <c r="D25" s="36">
        <v>1.2038629594120203</v>
      </c>
      <c r="E25" s="36">
        <v>0.26662793408177199</v>
      </c>
      <c r="F25" s="36">
        <v>0.37733182278723804</v>
      </c>
      <c r="G25" s="36">
        <v>1.3862608244623793</v>
      </c>
      <c r="H25" s="36">
        <v>2.3718619924486184</v>
      </c>
      <c r="I25" s="36">
        <v>1.0187870615639234</v>
      </c>
      <c r="J25" s="36">
        <v>1.707672894866739</v>
      </c>
      <c r="K25" s="36">
        <v>5.4762641606503095</v>
      </c>
      <c r="L25" s="36">
        <v>4.5313255712082263</v>
      </c>
      <c r="M25" s="36">
        <v>1.7870226843464956</v>
      </c>
      <c r="N25" s="36">
        <v>3.6972389633960696</v>
      </c>
      <c r="O25" s="36">
        <v>3.4915894021193385</v>
      </c>
      <c r="P25" s="36">
        <v>4.5539183721284875</v>
      </c>
      <c r="Q25" s="36">
        <v>8.398645918158401</v>
      </c>
      <c r="R25" s="36">
        <v>3.4185123229910555</v>
      </c>
      <c r="S25" s="36">
        <v>2.9887872217116538</v>
      </c>
      <c r="T25" s="36">
        <v>6.6428218439620847</v>
      </c>
      <c r="U25" s="36">
        <v>3.2800040001271595</v>
      </c>
      <c r="V25" s="36">
        <v>10.469414502766892</v>
      </c>
      <c r="W25" s="36">
        <v>8.3958781726917113</v>
      </c>
      <c r="X25" s="36">
        <v>11.408359180699513</v>
      </c>
      <c r="Y25" s="36">
        <v>9.575221558890517</v>
      </c>
      <c r="Z25" s="36">
        <v>8.369824146932265</v>
      </c>
      <c r="AA25" s="36">
        <v>8.6758140706294995</v>
      </c>
      <c r="AB25" s="36">
        <v>7.2376079309854777</v>
      </c>
      <c r="AC25" s="37">
        <v>6.3062066039240543</v>
      </c>
      <c r="AD25" s="37">
        <v>10.398957834840845</v>
      </c>
      <c r="AE25" s="37">
        <v>8.852711154388162</v>
      </c>
      <c r="AF25" s="37">
        <v>8.6371060074212203</v>
      </c>
      <c r="AG25" s="37">
        <v>7.5331476413338452</v>
      </c>
      <c r="AH25" s="37">
        <v>7.3797155374906511</v>
      </c>
      <c r="AI25" s="37">
        <v>6.7382619145081097</v>
      </c>
      <c r="AJ25" s="37">
        <v>8.164233190699445</v>
      </c>
      <c r="AK25" s="37">
        <v>11.300667693944186</v>
      </c>
      <c r="AL25" s="37">
        <v>11.254776739591836</v>
      </c>
      <c r="AM25" s="122">
        <v>0.21162301113898319</v>
      </c>
      <c r="AN25" s="122">
        <v>0.38416767747615466</v>
      </c>
      <c r="AO25" s="122">
        <v>-4.0609064521861526E-3</v>
      </c>
    </row>
    <row r="26" spans="1:41" s="15" customFormat="1" ht="19.5" customHeight="1" x14ac:dyDescent="0.45">
      <c r="A26" s="11" t="s">
        <v>80</v>
      </c>
      <c r="B26" s="145" t="s">
        <v>116</v>
      </c>
      <c r="C26" s="145" t="s">
        <v>116</v>
      </c>
      <c r="D26" s="145" t="s">
        <v>116</v>
      </c>
      <c r="E26" s="145" t="s">
        <v>116</v>
      </c>
      <c r="F26" s="145" t="s">
        <v>116</v>
      </c>
      <c r="G26" s="145" t="s">
        <v>116</v>
      </c>
      <c r="H26" s="145" t="s">
        <v>116</v>
      </c>
      <c r="I26" s="145" t="s">
        <v>116</v>
      </c>
      <c r="J26" s="145" t="s">
        <v>116</v>
      </c>
      <c r="K26" s="145" t="s">
        <v>116</v>
      </c>
      <c r="L26" s="145" t="s">
        <v>116</v>
      </c>
      <c r="M26" s="145" t="s">
        <v>116</v>
      </c>
      <c r="N26" s="145" t="s">
        <v>116</v>
      </c>
      <c r="O26" s="145" t="s">
        <v>116</v>
      </c>
      <c r="P26" s="145" t="s">
        <v>116</v>
      </c>
      <c r="Q26" s="145" t="s">
        <v>116</v>
      </c>
      <c r="R26" s="145" t="s">
        <v>116</v>
      </c>
      <c r="S26" s="145" t="s">
        <v>116</v>
      </c>
      <c r="T26" s="145" t="s">
        <v>116</v>
      </c>
      <c r="U26" s="145" t="s">
        <v>116</v>
      </c>
      <c r="V26" s="145" t="s">
        <v>116</v>
      </c>
      <c r="W26" s="145" t="s">
        <v>116</v>
      </c>
      <c r="X26" s="34">
        <v>6.2872626061803301</v>
      </c>
      <c r="Y26" s="34">
        <v>6.7168395363303963</v>
      </c>
      <c r="Z26" s="34">
        <v>7.3066716458949159</v>
      </c>
      <c r="AA26" s="34">
        <v>8.1538657040356881</v>
      </c>
      <c r="AB26" s="34">
        <v>7.0882087321058922</v>
      </c>
      <c r="AC26" s="35">
        <v>7.9107890019210814</v>
      </c>
      <c r="AD26" s="35">
        <v>6.2093945710162783</v>
      </c>
      <c r="AE26" s="147" t="s">
        <v>116</v>
      </c>
      <c r="AF26" s="147" t="s">
        <v>116</v>
      </c>
      <c r="AG26" s="147" t="s">
        <v>116</v>
      </c>
      <c r="AH26" s="147" t="s">
        <v>116</v>
      </c>
      <c r="AI26" s="147" t="s">
        <v>116</v>
      </c>
      <c r="AJ26" s="147" t="s">
        <v>116</v>
      </c>
      <c r="AK26" s="147" t="s">
        <v>116</v>
      </c>
      <c r="AL26" s="147" t="s">
        <v>116</v>
      </c>
      <c r="AM26" s="122" t="s">
        <v>116</v>
      </c>
      <c r="AN26" s="122" t="s">
        <v>116</v>
      </c>
      <c r="AO26" s="122" t="s">
        <v>116</v>
      </c>
    </row>
    <row r="27" spans="1:41" s="10" customFormat="1" ht="19.5" customHeight="1" thickBot="1" x14ac:dyDescent="0.5">
      <c r="A27" s="38" t="s">
        <v>24</v>
      </c>
      <c r="B27" s="39">
        <v>297.18419968530918</v>
      </c>
      <c r="C27" s="39">
        <v>262.31543539833518</v>
      </c>
      <c r="D27" s="39">
        <v>260.87452400833291</v>
      </c>
      <c r="E27" s="39">
        <v>281.53662587052509</v>
      </c>
      <c r="F27" s="39">
        <v>271.89177033937909</v>
      </c>
      <c r="G27" s="39">
        <v>286.38714708537384</v>
      </c>
      <c r="H27" s="39">
        <v>266.82089422364311</v>
      </c>
      <c r="I27" s="39">
        <v>245.53829232474632</v>
      </c>
      <c r="J27" s="39">
        <v>296.90582035336899</v>
      </c>
      <c r="K27" s="39">
        <v>309.09334901333739</v>
      </c>
      <c r="L27" s="39">
        <v>308.98073947341493</v>
      </c>
      <c r="M27" s="39">
        <v>285.29874745842704</v>
      </c>
      <c r="N27" s="39">
        <v>316.91414576046344</v>
      </c>
      <c r="O27" s="39">
        <v>378.56488747871157</v>
      </c>
      <c r="P27" s="39">
        <v>429.66825572692215</v>
      </c>
      <c r="Q27" s="39">
        <v>426.52237859320655</v>
      </c>
      <c r="R27" s="39">
        <v>360.6054286381318</v>
      </c>
      <c r="S27" s="39">
        <v>362.80838951255794</v>
      </c>
      <c r="T27" s="39">
        <v>409.72595278201345</v>
      </c>
      <c r="U27" s="39">
        <v>470.46656260948919</v>
      </c>
      <c r="V27" s="39">
        <v>446.880923092285</v>
      </c>
      <c r="W27" s="39">
        <v>463.46490579369492</v>
      </c>
      <c r="X27" s="39">
        <v>538.25719570315755</v>
      </c>
      <c r="Y27" s="39">
        <v>567.52707263942978</v>
      </c>
      <c r="Z27" s="39">
        <v>617.47307861871866</v>
      </c>
      <c r="AA27" s="39">
        <v>625.41737530747002</v>
      </c>
      <c r="AB27" s="39">
        <v>627.6866226190117</v>
      </c>
      <c r="AC27" s="40">
        <v>635.62387099702391</v>
      </c>
      <c r="AD27" s="40">
        <v>638.26289708205672</v>
      </c>
      <c r="AE27" s="40">
        <v>616.5261447355399</v>
      </c>
      <c r="AF27" s="40">
        <v>607.66009150668617</v>
      </c>
      <c r="AG27" s="40">
        <v>740.75190183189238</v>
      </c>
      <c r="AH27" s="40">
        <v>838.1786657281051</v>
      </c>
      <c r="AI27" s="40">
        <v>842.90144877367936</v>
      </c>
      <c r="AJ27" s="40">
        <v>876.31999620285967</v>
      </c>
      <c r="AK27" s="40">
        <v>848.03075836437336</v>
      </c>
      <c r="AL27" s="40">
        <v>941.55410940243632</v>
      </c>
      <c r="AM27" s="122">
        <v>3.9647039968670361E-2</v>
      </c>
      <c r="AN27" s="122">
        <v>-3.2281858180875811E-2</v>
      </c>
      <c r="AO27" s="122">
        <v>0.11028297041777679</v>
      </c>
    </row>
    <row r="28" spans="1:41" s="15" customFormat="1" ht="19.5" customHeight="1" thickTop="1" x14ac:dyDescent="0.45">
      <c r="A28" s="11" t="s">
        <v>25</v>
      </c>
      <c r="B28" s="145" t="s">
        <v>116</v>
      </c>
      <c r="C28" s="145" t="s">
        <v>116</v>
      </c>
      <c r="D28" s="145" t="s">
        <v>116</v>
      </c>
      <c r="E28" s="145" t="s">
        <v>116</v>
      </c>
      <c r="F28" s="145" t="s">
        <v>116</v>
      </c>
      <c r="G28" s="145" t="s">
        <v>116</v>
      </c>
      <c r="H28" s="145" t="s">
        <v>116</v>
      </c>
      <c r="I28" s="145" t="s">
        <v>116</v>
      </c>
      <c r="J28" s="145" t="s">
        <v>116</v>
      </c>
      <c r="K28" s="145" t="s">
        <v>116</v>
      </c>
      <c r="L28" s="145" t="s">
        <v>116</v>
      </c>
      <c r="M28" s="34">
        <v>60.804874537637254</v>
      </c>
      <c r="N28" s="34">
        <v>67.214119293453692</v>
      </c>
      <c r="O28" s="34">
        <v>71.326879298104402</v>
      </c>
      <c r="P28" s="34">
        <v>71.987399742050584</v>
      </c>
      <c r="Q28" s="34">
        <v>80.994323431363441</v>
      </c>
      <c r="R28" s="34">
        <v>78.633909031436843</v>
      </c>
      <c r="S28" s="34">
        <v>81.641357246419588</v>
      </c>
      <c r="T28" s="34">
        <v>88.725289688362295</v>
      </c>
      <c r="U28" s="34">
        <v>97.963155903023221</v>
      </c>
      <c r="V28" s="34">
        <v>96.94138238932554</v>
      </c>
      <c r="W28" s="34">
        <v>102.20539712190202</v>
      </c>
      <c r="X28" s="34">
        <v>108.04703382156592</v>
      </c>
      <c r="Y28" s="34">
        <v>109.65749535328106</v>
      </c>
      <c r="Z28" s="34">
        <v>118.82993899094613</v>
      </c>
      <c r="AA28" s="34">
        <v>136.51395320975089</v>
      </c>
      <c r="AB28" s="34">
        <v>141.21223824261244</v>
      </c>
      <c r="AC28" s="35">
        <v>132.18131066407076</v>
      </c>
      <c r="AD28" s="35">
        <v>129.71312373207496</v>
      </c>
      <c r="AE28" s="35">
        <v>130.58235650817832</v>
      </c>
      <c r="AF28" s="35">
        <v>139.82500144466846</v>
      </c>
      <c r="AG28" s="35">
        <v>160.38793901602872</v>
      </c>
      <c r="AH28" s="35">
        <v>163.55341959924681</v>
      </c>
      <c r="AI28" s="35">
        <v>159.59375417068136</v>
      </c>
      <c r="AJ28" s="35">
        <v>152.36494100809898</v>
      </c>
      <c r="AK28" s="35">
        <v>169.32248910601481</v>
      </c>
      <c r="AL28" s="35">
        <v>206.15693066629041</v>
      </c>
      <c r="AM28" s="122">
        <v>-4.5295088145187457E-2</v>
      </c>
      <c r="AN28" s="122">
        <v>0.11129560373744019</v>
      </c>
      <c r="AO28" s="122">
        <v>0.21754016111358432</v>
      </c>
    </row>
    <row r="29" spans="1:41" s="15" customFormat="1" ht="19.5" customHeight="1" x14ac:dyDescent="0.45">
      <c r="A29" s="16" t="s">
        <v>26</v>
      </c>
      <c r="B29" s="146" t="s">
        <v>116</v>
      </c>
      <c r="C29" s="146" t="s">
        <v>116</v>
      </c>
      <c r="D29" s="146" t="s">
        <v>116</v>
      </c>
      <c r="E29" s="146" t="s">
        <v>116</v>
      </c>
      <c r="F29" s="146" t="s">
        <v>116</v>
      </c>
      <c r="G29" s="146" t="s">
        <v>116</v>
      </c>
      <c r="H29" s="146" t="s">
        <v>116</v>
      </c>
      <c r="I29" s="146" t="s">
        <v>116</v>
      </c>
      <c r="J29" s="146" t="s">
        <v>116</v>
      </c>
      <c r="K29" s="146" t="s">
        <v>116</v>
      </c>
      <c r="L29" s="146" t="s">
        <v>116</v>
      </c>
      <c r="M29" s="36">
        <v>11.009652215373315</v>
      </c>
      <c r="N29" s="36">
        <v>13.208528415592978</v>
      </c>
      <c r="O29" s="36">
        <v>13.537679571654744</v>
      </c>
      <c r="P29" s="36">
        <v>14.468230473380761</v>
      </c>
      <c r="Q29" s="36">
        <v>16.266832198107725</v>
      </c>
      <c r="R29" s="36">
        <v>18.859956534075611</v>
      </c>
      <c r="S29" s="36">
        <v>16.590045733670493</v>
      </c>
      <c r="T29" s="36">
        <v>17.739885312351728</v>
      </c>
      <c r="U29" s="36">
        <v>21.005836702600799</v>
      </c>
      <c r="V29" s="36">
        <v>21.233693535716366</v>
      </c>
      <c r="W29" s="36">
        <v>23.359191823586986</v>
      </c>
      <c r="X29" s="36">
        <v>23.395800638361504</v>
      </c>
      <c r="Y29" s="36">
        <v>21.967473727955959</v>
      </c>
      <c r="Z29" s="36">
        <v>25.435010652532331</v>
      </c>
      <c r="AA29" s="36">
        <v>26.714941734308944</v>
      </c>
      <c r="AB29" s="36">
        <v>28.549991151499764</v>
      </c>
      <c r="AC29" s="37">
        <v>26.347489507709732</v>
      </c>
      <c r="AD29" s="37">
        <v>39.276633260946177</v>
      </c>
      <c r="AE29" s="37">
        <v>31.250755614242347</v>
      </c>
      <c r="AF29" s="37">
        <v>38.686699430323642</v>
      </c>
      <c r="AG29" s="37">
        <v>52.011289148686778</v>
      </c>
      <c r="AH29" s="37">
        <v>48.319420131823499</v>
      </c>
      <c r="AI29" s="37">
        <v>42.16034587277089</v>
      </c>
      <c r="AJ29" s="37">
        <v>48.23652735526931</v>
      </c>
      <c r="AK29" s="37">
        <v>56.220517673693685</v>
      </c>
      <c r="AL29" s="37">
        <v>58.793766415693852</v>
      </c>
      <c r="AM29" s="122">
        <v>0.14412076933227191</v>
      </c>
      <c r="AN29" s="122">
        <v>0.1655175186974196</v>
      </c>
      <c r="AO29" s="122">
        <v>4.5770634075897654E-2</v>
      </c>
    </row>
    <row r="30" spans="1:41" s="15" customFormat="1" ht="19.5" customHeight="1" x14ac:dyDescent="0.45">
      <c r="A30" s="11" t="s">
        <v>27</v>
      </c>
      <c r="B30" s="145" t="s">
        <v>116</v>
      </c>
      <c r="C30" s="145" t="s">
        <v>116</v>
      </c>
      <c r="D30" s="145" t="s">
        <v>116</v>
      </c>
      <c r="E30" s="145" t="s">
        <v>116</v>
      </c>
      <c r="F30" s="145" t="s">
        <v>116</v>
      </c>
      <c r="G30" s="145" t="s">
        <v>116</v>
      </c>
      <c r="H30" s="145" t="s">
        <v>116</v>
      </c>
      <c r="I30" s="145" t="s">
        <v>116</v>
      </c>
      <c r="J30" s="145" t="s">
        <v>116</v>
      </c>
      <c r="K30" s="145" t="s">
        <v>116</v>
      </c>
      <c r="L30" s="145" t="s">
        <v>116</v>
      </c>
      <c r="M30" s="34">
        <v>30.372495762469971</v>
      </c>
      <c r="N30" s="34">
        <v>31.697218130487492</v>
      </c>
      <c r="O30" s="34">
        <v>35.99476003384445</v>
      </c>
      <c r="P30" s="34">
        <v>40.97690772378472</v>
      </c>
      <c r="Q30" s="34">
        <v>43.538753699935022</v>
      </c>
      <c r="R30" s="34">
        <v>51.531289441385503</v>
      </c>
      <c r="S30" s="34">
        <v>47.144259274142563</v>
      </c>
      <c r="T30" s="34">
        <v>63.473834816133675</v>
      </c>
      <c r="U30" s="34">
        <v>71.515347691496657</v>
      </c>
      <c r="V30" s="34">
        <v>68.361096284691513</v>
      </c>
      <c r="W30" s="34">
        <v>67.132350044562898</v>
      </c>
      <c r="X30" s="34">
        <v>72.209536336931905</v>
      </c>
      <c r="Y30" s="34">
        <v>72.718322682312106</v>
      </c>
      <c r="Z30" s="34">
        <v>80.675632424399296</v>
      </c>
      <c r="AA30" s="34">
        <v>78.198693657091539</v>
      </c>
      <c r="AB30" s="34">
        <v>83.239079911803969</v>
      </c>
      <c r="AC30" s="35">
        <v>84.955499393543235</v>
      </c>
      <c r="AD30" s="35">
        <v>77.271962178639583</v>
      </c>
      <c r="AE30" s="35">
        <v>76.821568783954433</v>
      </c>
      <c r="AF30" s="35">
        <v>89.525044546618247</v>
      </c>
      <c r="AG30" s="35">
        <v>88.303436548955077</v>
      </c>
      <c r="AH30" s="35">
        <v>103.05781444362998</v>
      </c>
      <c r="AI30" s="35">
        <v>100.44735724677085</v>
      </c>
      <c r="AJ30" s="35">
        <v>97.059577027102236</v>
      </c>
      <c r="AK30" s="35">
        <v>106.0868548549186</v>
      </c>
      <c r="AL30" s="35">
        <v>113.00575888342001</v>
      </c>
      <c r="AM30" s="122">
        <v>-3.3726922365371892E-2</v>
      </c>
      <c r="AN30" s="122">
        <v>9.3007594967116525E-2</v>
      </c>
      <c r="AO30" s="122">
        <v>6.5219239819707342E-2</v>
      </c>
    </row>
    <row r="31" spans="1:41" s="15" customFormat="1" ht="19.5" customHeight="1" x14ac:dyDescent="0.45">
      <c r="A31" s="16" t="s">
        <v>28</v>
      </c>
      <c r="B31" s="146" t="s">
        <v>116</v>
      </c>
      <c r="C31" s="146" t="s">
        <v>116</v>
      </c>
      <c r="D31" s="146" t="s">
        <v>116</v>
      </c>
      <c r="E31" s="146" t="s">
        <v>116</v>
      </c>
      <c r="F31" s="146" t="s">
        <v>116</v>
      </c>
      <c r="G31" s="146" t="s">
        <v>116</v>
      </c>
      <c r="H31" s="146" t="s">
        <v>116</v>
      </c>
      <c r="I31" s="146" t="s">
        <v>116</v>
      </c>
      <c r="J31" s="146" t="s">
        <v>116</v>
      </c>
      <c r="K31" s="146" t="s">
        <v>116</v>
      </c>
      <c r="L31" s="146" t="s">
        <v>116</v>
      </c>
      <c r="M31" s="36">
        <v>24.017281232008042</v>
      </c>
      <c r="N31" s="36">
        <v>23.1113800771519</v>
      </c>
      <c r="O31" s="36">
        <v>23.402136518568856</v>
      </c>
      <c r="P31" s="36">
        <v>25.77081064687302</v>
      </c>
      <c r="Q31" s="36">
        <v>26.339019978849347</v>
      </c>
      <c r="R31" s="36">
        <v>29.623938571221615</v>
      </c>
      <c r="S31" s="36">
        <v>28.295946287036074</v>
      </c>
      <c r="T31" s="36">
        <v>34.7856286165608</v>
      </c>
      <c r="U31" s="36">
        <v>39.131875407930977</v>
      </c>
      <c r="V31" s="36">
        <v>39.895377442787698</v>
      </c>
      <c r="W31" s="36">
        <v>44.058841848518824</v>
      </c>
      <c r="X31" s="36">
        <v>45.419449783392317</v>
      </c>
      <c r="Y31" s="36">
        <v>47.461570105712134</v>
      </c>
      <c r="Z31" s="36">
        <v>54.922417695549044</v>
      </c>
      <c r="AA31" s="36">
        <v>59.308876215110089</v>
      </c>
      <c r="AB31" s="36">
        <v>53.536399099242082</v>
      </c>
      <c r="AC31" s="37">
        <v>49.675641978709479</v>
      </c>
      <c r="AD31" s="37">
        <v>55.348891372244765</v>
      </c>
      <c r="AE31" s="37">
        <v>54.526178978067037</v>
      </c>
      <c r="AF31" s="37">
        <v>54.020869795248046</v>
      </c>
      <c r="AG31" s="37">
        <v>55.540976510400128</v>
      </c>
      <c r="AH31" s="37">
        <v>55.602237824833971</v>
      </c>
      <c r="AI31" s="37">
        <v>60.706479563083484</v>
      </c>
      <c r="AJ31" s="37">
        <v>68.264610367996994</v>
      </c>
      <c r="AK31" s="37">
        <v>67.877155815772653</v>
      </c>
      <c r="AL31" s="37">
        <v>69.342986179999997</v>
      </c>
      <c r="AM31" s="122">
        <v>0.12450286788677034</v>
      </c>
      <c r="AN31" s="122">
        <v>-5.6757747555530313E-3</v>
      </c>
      <c r="AO31" s="122">
        <v>2.1595341563895198E-2</v>
      </c>
    </row>
    <row r="32" spans="1:41" s="15" customFormat="1" ht="19.5" customHeight="1" x14ac:dyDescent="0.45">
      <c r="A32" s="11" t="s">
        <v>29</v>
      </c>
      <c r="B32" s="145" t="s">
        <v>116</v>
      </c>
      <c r="C32" s="145" t="s">
        <v>116</v>
      </c>
      <c r="D32" s="145" t="s">
        <v>116</v>
      </c>
      <c r="E32" s="145" t="s">
        <v>116</v>
      </c>
      <c r="F32" s="145" t="s">
        <v>116</v>
      </c>
      <c r="G32" s="145" t="s">
        <v>116</v>
      </c>
      <c r="H32" s="145" t="s">
        <v>116</v>
      </c>
      <c r="I32" s="145" t="s">
        <v>116</v>
      </c>
      <c r="J32" s="145" t="s">
        <v>116</v>
      </c>
      <c r="K32" s="145" t="s">
        <v>116</v>
      </c>
      <c r="L32" s="145" t="s">
        <v>116</v>
      </c>
      <c r="M32" s="34">
        <v>9.3906077126151182</v>
      </c>
      <c r="N32" s="34">
        <v>9.2536723501535825</v>
      </c>
      <c r="O32" s="34">
        <v>9.533861668422384</v>
      </c>
      <c r="P32" s="34">
        <v>11.53233743540809</v>
      </c>
      <c r="Q32" s="34">
        <v>11.688156685972443</v>
      </c>
      <c r="R32" s="34">
        <v>11.76761343246725</v>
      </c>
      <c r="S32" s="34">
        <v>11.178043669959779</v>
      </c>
      <c r="T32" s="34">
        <v>11.879899712588221</v>
      </c>
      <c r="U32" s="34">
        <v>12.824092400349212</v>
      </c>
      <c r="V32" s="34">
        <v>12.792557981757289</v>
      </c>
      <c r="W32" s="34">
        <v>12.44221507446667</v>
      </c>
      <c r="X32" s="34">
        <v>14.661141448361672</v>
      </c>
      <c r="Y32" s="34">
        <v>17.186448767374387</v>
      </c>
      <c r="Z32" s="34">
        <v>20.213482800469702</v>
      </c>
      <c r="AA32" s="34">
        <v>22.710640678628703</v>
      </c>
      <c r="AB32" s="34">
        <v>23.123388795003656</v>
      </c>
      <c r="AC32" s="35">
        <v>24.929225463414635</v>
      </c>
      <c r="AD32" s="35">
        <v>20.54368500045419</v>
      </c>
      <c r="AE32" s="35">
        <v>18.687658329067844</v>
      </c>
      <c r="AF32" s="35">
        <v>18.923571907810437</v>
      </c>
      <c r="AG32" s="35">
        <v>20.781850166854472</v>
      </c>
      <c r="AH32" s="35">
        <v>19.474734972925209</v>
      </c>
      <c r="AI32" s="35">
        <v>21.607835191488189</v>
      </c>
      <c r="AJ32" s="35">
        <v>26.62548585721186</v>
      </c>
      <c r="AK32" s="35">
        <v>26.201310665117216</v>
      </c>
      <c r="AL32" s="35">
        <v>24.726222813214282</v>
      </c>
      <c r="AM32" s="122">
        <v>0.23221440839664664</v>
      </c>
      <c r="AN32" s="122">
        <v>-1.5931171899338348E-2</v>
      </c>
      <c r="AO32" s="122">
        <v>-5.629824670819894E-2</v>
      </c>
    </row>
    <row r="33" spans="1:62" s="10" customFormat="1" ht="19.5" customHeight="1" thickBot="1" x14ac:dyDescent="0.5">
      <c r="A33" s="38" t="s">
        <v>30</v>
      </c>
      <c r="B33" s="149" t="s">
        <v>116</v>
      </c>
      <c r="C33" s="149" t="s">
        <v>116</v>
      </c>
      <c r="D33" s="149" t="s">
        <v>116</v>
      </c>
      <c r="E33" s="149" t="s">
        <v>116</v>
      </c>
      <c r="F33" s="149" t="s">
        <v>116</v>
      </c>
      <c r="G33" s="149" t="s">
        <v>116</v>
      </c>
      <c r="H33" s="149" t="s">
        <v>116</v>
      </c>
      <c r="I33" s="149" t="s">
        <v>116</v>
      </c>
      <c r="J33" s="149" t="s">
        <v>116</v>
      </c>
      <c r="K33" s="149" t="s">
        <v>116</v>
      </c>
      <c r="L33" s="149" t="s">
        <v>116</v>
      </c>
      <c r="M33" s="39">
        <v>135.5949114601037</v>
      </c>
      <c r="N33" s="39">
        <v>144.48491826683963</v>
      </c>
      <c r="O33" s="39">
        <v>153.79531709059484</v>
      </c>
      <c r="P33" s="39">
        <v>164.73568602149717</v>
      </c>
      <c r="Q33" s="39">
        <v>178.82708599422796</v>
      </c>
      <c r="R33" s="39">
        <v>190.4167070105868</v>
      </c>
      <c r="S33" s="39">
        <v>184.84965221122849</v>
      </c>
      <c r="T33" s="39">
        <v>216.60453814599674</v>
      </c>
      <c r="U33" s="39">
        <v>242.44030810540087</v>
      </c>
      <c r="V33" s="39">
        <v>239.2241076342784</v>
      </c>
      <c r="W33" s="39">
        <v>249.1979959130374</v>
      </c>
      <c r="X33" s="39">
        <v>263.73296202861331</v>
      </c>
      <c r="Y33" s="39">
        <v>268.99131063663566</v>
      </c>
      <c r="Z33" s="39">
        <v>300.07648256389649</v>
      </c>
      <c r="AA33" s="39">
        <v>323.4471054948902</v>
      </c>
      <c r="AB33" s="39">
        <v>329.66109720016192</v>
      </c>
      <c r="AC33" s="40">
        <v>318.08916700744788</v>
      </c>
      <c r="AD33" s="40">
        <v>322.15429554435968</v>
      </c>
      <c r="AE33" s="40">
        <v>311.86851821351001</v>
      </c>
      <c r="AF33" s="40">
        <v>340.98118712466879</v>
      </c>
      <c r="AG33" s="40">
        <v>377.0254913909252</v>
      </c>
      <c r="AH33" s="40">
        <v>390.00762697245949</v>
      </c>
      <c r="AI33" s="40">
        <v>384.51577204479469</v>
      </c>
      <c r="AJ33" s="40">
        <v>392.5511416156794</v>
      </c>
      <c r="AK33" s="40">
        <v>425.70832811551696</v>
      </c>
      <c r="AL33" s="40">
        <v>472.02566495861851</v>
      </c>
      <c r="AM33" s="122">
        <v>2.0897373151051557E-2</v>
      </c>
      <c r="AN33" s="122">
        <v>8.4465902616835509E-2</v>
      </c>
      <c r="AO33" s="122">
        <v>0.10880063598505219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</row>
    <row r="34" spans="1:62" s="10" customFormat="1" ht="19.5" customHeight="1" thickTop="1" thickBot="1" x14ac:dyDescent="0.5">
      <c r="A34" s="41" t="s">
        <v>31</v>
      </c>
      <c r="B34" s="42">
        <v>297.18419968530918</v>
      </c>
      <c r="C34" s="42">
        <v>262.31543539833518</v>
      </c>
      <c r="D34" s="42">
        <v>260.87452400833291</v>
      </c>
      <c r="E34" s="42">
        <v>281.53662587052509</v>
      </c>
      <c r="F34" s="42">
        <v>271.89177033937909</v>
      </c>
      <c r="G34" s="42">
        <v>286.38714708537384</v>
      </c>
      <c r="H34" s="42">
        <v>266.82089422364311</v>
      </c>
      <c r="I34" s="42">
        <v>245.53829232474632</v>
      </c>
      <c r="J34" s="42">
        <v>296.90582035336899</v>
      </c>
      <c r="K34" s="42">
        <v>309.09334901333739</v>
      </c>
      <c r="L34" s="42">
        <v>308.98073947341493</v>
      </c>
      <c r="M34" s="42">
        <v>420.89365891853072</v>
      </c>
      <c r="N34" s="42">
        <v>461.3990640273031</v>
      </c>
      <c r="O34" s="42">
        <v>532.36020456930646</v>
      </c>
      <c r="P34" s="42">
        <v>594.40394174841936</v>
      </c>
      <c r="Q34" s="42">
        <v>605.34946458743457</v>
      </c>
      <c r="R34" s="42">
        <v>551.02213564871863</v>
      </c>
      <c r="S34" s="42">
        <v>547.65804172378648</v>
      </c>
      <c r="T34" s="42">
        <v>626.33049092801025</v>
      </c>
      <c r="U34" s="42">
        <v>712.90687071489003</v>
      </c>
      <c r="V34" s="42">
        <v>686.10503072656343</v>
      </c>
      <c r="W34" s="42">
        <v>712.66290170673233</v>
      </c>
      <c r="X34" s="42">
        <v>801.99015773177086</v>
      </c>
      <c r="Y34" s="42">
        <v>836.51838327606538</v>
      </c>
      <c r="Z34" s="42">
        <v>917.54956118261521</v>
      </c>
      <c r="AA34" s="42">
        <v>948.86448080236028</v>
      </c>
      <c r="AB34" s="42">
        <v>957.34771981917356</v>
      </c>
      <c r="AC34" s="43">
        <v>953.71303800447185</v>
      </c>
      <c r="AD34" s="43">
        <v>960.41719262641641</v>
      </c>
      <c r="AE34" s="43">
        <v>928.39466294904992</v>
      </c>
      <c r="AF34" s="43">
        <v>948.64127863135491</v>
      </c>
      <c r="AG34" s="43">
        <v>1117.7773932228176</v>
      </c>
      <c r="AH34" s="43">
        <v>1228.1862927005645</v>
      </c>
      <c r="AI34" s="43">
        <v>1227.4172208184741</v>
      </c>
      <c r="AJ34" s="43">
        <v>1268.871137818539</v>
      </c>
      <c r="AK34" s="43">
        <v>1273.7390864798904</v>
      </c>
      <c r="AL34" s="43">
        <v>1413.5797743610549</v>
      </c>
      <c r="AM34" s="122">
        <v>3.3773289389261052E-2</v>
      </c>
      <c r="AN34" s="122">
        <v>3.8364405306912097E-3</v>
      </c>
      <c r="AO34" s="122">
        <v>0.10978754547576042</v>
      </c>
    </row>
    <row r="35" spans="1:62" ht="18" customHeight="1" thickTop="1" x14ac:dyDescent="0.45">
      <c r="A35" s="134" t="s">
        <v>130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</row>
    <row r="36" spans="1:62" ht="17.25" customHeight="1" x14ac:dyDescent="0.45">
      <c r="A36" s="130" t="s">
        <v>133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</row>
    <row r="37" spans="1:62" ht="31.5" customHeight="1" x14ac:dyDescent="0.45">
      <c r="A37" s="130" t="s">
        <v>121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</row>
    <row r="38" spans="1:62" ht="33" customHeight="1" x14ac:dyDescent="0.45">
      <c r="A38" s="130" t="s">
        <v>32</v>
      </c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</row>
    <row r="39" spans="1:62" x14ac:dyDescent="0.45">
      <c r="A39" s="130" t="s">
        <v>33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</row>
    <row r="40" spans="1:62" x14ac:dyDescent="0.45">
      <c r="A40" s="136" t="s">
        <v>34</v>
      </c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</row>
    <row r="41" spans="1:62" x14ac:dyDescent="0.45">
      <c r="A41" s="130" t="s">
        <v>131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</row>
    <row r="42" spans="1:62" x14ac:dyDescent="0.45">
      <c r="A42" s="130" t="s">
        <v>134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</row>
    <row r="43" spans="1:62" x14ac:dyDescent="0.45">
      <c r="A43" s="130" t="s">
        <v>35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</row>
    <row r="44" spans="1:62" x14ac:dyDescent="0.45">
      <c r="A44" s="130" t="s">
        <v>36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</row>
    <row r="45" spans="1:62" x14ac:dyDescent="0.45">
      <c r="A45" s="130" t="s">
        <v>122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</row>
    <row r="46" spans="1:62" x14ac:dyDescent="0.45">
      <c r="A46" s="130" t="s">
        <v>37</v>
      </c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</row>
  </sheetData>
  <mergeCells count="13">
    <mergeCell ref="A46:AL46"/>
    <mergeCell ref="A45:AL45"/>
    <mergeCell ref="A44:AL44"/>
    <mergeCell ref="A43:AL43"/>
    <mergeCell ref="A42:AL42"/>
    <mergeCell ref="A36:AL36"/>
    <mergeCell ref="A35:AL35"/>
    <mergeCell ref="A2:AI2"/>
    <mergeCell ref="A41:AL41"/>
    <mergeCell ref="A40:AL40"/>
    <mergeCell ref="A39:AL39"/>
    <mergeCell ref="A38:AL38"/>
    <mergeCell ref="A37:AL37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3"/>
  <sheetViews>
    <sheetView showGridLines="0" zoomScaleNormal="100" workbookViewId="0">
      <selection activeCell="A3" sqref="A3"/>
    </sheetView>
  </sheetViews>
  <sheetFormatPr defaultColWidth="8.88671875" defaultRowHeight="19.2" x14ac:dyDescent="0.45"/>
  <cols>
    <col min="1" max="1" width="17.33203125" style="3" customWidth="1"/>
    <col min="2" max="2" width="17.88671875" style="3" bestFit="1" customWidth="1"/>
    <col min="3" max="3" width="10.5546875" style="3" bestFit="1" customWidth="1"/>
    <col min="4" max="16384" width="8.88671875" style="3"/>
  </cols>
  <sheetData>
    <row r="1" spans="1:13" ht="18" customHeight="1" x14ac:dyDescent="0.45">
      <c r="A1" s="123" t="s">
        <v>82</v>
      </c>
      <c r="B1" s="123"/>
      <c r="C1" s="123"/>
      <c r="D1" s="124"/>
      <c r="E1" s="124"/>
      <c r="F1" s="124"/>
      <c r="G1" s="124"/>
      <c r="H1" s="124"/>
      <c r="I1" s="124"/>
      <c r="J1" s="124"/>
      <c r="K1" s="124"/>
      <c r="L1" s="124"/>
      <c r="M1" s="15"/>
    </row>
    <row r="2" spans="1:13" ht="18" customHeight="1" x14ac:dyDescent="0.45">
      <c r="A2" s="123" t="s">
        <v>83</v>
      </c>
      <c r="B2" s="123"/>
      <c r="C2" s="123"/>
      <c r="D2" s="124"/>
      <c r="E2" s="124"/>
      <c r="F2" s="124"/>
      <c r="G2" s="124"/>
      <c r="H2" s="124"/>
      <c r="I2" s="124"/>
      <c r="J2" s="124"/>
      <c r="K2" s="124"/>
      <c r="L2" s="124"/>
      <c r="M2" s="15"/>
    </row>
    <row r="3" spans="1:13" x14ac:dyDescent="0.45">
      <c r="A3" s="109"/>
    </row>
    <row r="4" spans="1:13" ht="39" thickBot="1" x14ac:dyDescent="0.5">
      <c r="A4" s="110" t="s">
        <v>84</v>
      </c>
      <c r="B4" s="111" t="s">
        <v>85</v>
      </c>
      <c r="C4" s="112" t="s">
        <v>86</v>
      </c>
    </row>
    <row r="5" spans="1:13" ht="16.5" customHeight="1" thickTop="1" x14ac:dyDescent="0.45">
      <c r="A5" s="113">
        <v>1990</v>
      </c>
      <c r="B5" s="114">
        <v>100</v>
      </c>
      <c r="C5" s="115" t="s">
        <v>116</v>
      </c>
    </row>
    <row r="6" spans="1:13" ht="16.5" customHeight="1" x14ac:dyDescent="0.45">
      <c r="A6" s="116">
        <v>1991</v>
      </c>
      <c r="B6" s="117">
        <v>100.27530507723812</v>
      </c>
      <c r="C6" s="118">
        <v>0.27530507723811581</v>
      </c>
    </row>
    <row r="7" spans="1:13" ht="16.5" customHeight="1" x14ac:dyDescent="0.45">
      <c r="A7" s="119">
        <v>1992</v>
      </c>
      <c r="B7" s="114">
        <v>106.20337614689583</v>
      </c>
      <c r="C7" s="120">
        <v>5.911795596225371</v>
      </c>
    </row>
    <row r="8" spans="1:13" ht="16.5" customHeight="1" x14ac:dyDescent="0.45">
      <c r="A8" s="116">
        <v>1993</v>
      </c>
      <c r="B8" s="117">
        <v>104.57013107177708</v>
      </c>
      <c r="C8" s="118">
        <v>-1.5378466621058433</v>
      </c>
    </row>
    <row r="9" spans="1:13" ht="16.5" customHeight="1" x14ac:dyDescent="0.45">
      <c r="A9" s="119">
        <v>1994</v>
      </c>
      <c r="B9" s="114">
        <v>114.16378114998278</v>
      </c>
      <c r="C9" s="120">
        <v>9.1743693728571518</v>
      </c>
    </row>
    <row r="10" spans="1:13" ht="16.5" customHeight="1" x14ac:dyDescent="0.45">
      <c r="A10" s="116">
        <v>1995</v>
      </c>
      <c r="B10" s="117">
        <v>115.0243365219558</v>
      </c>
      <c r="C10" s="118">
        <v>0.75379018047980173</v>
      </c>
    </row>
    <row r="11" spans="1:13" ht="16.5" customHeight="1" x14ac:dyDescent="0.45">
      <c r="A11" s="119">
        <v>1996</v>
      </c>
      <c r="B11" s="114">
        <v>106.55186735424465</v>
      </c>
      <c r="C11" s="120">
        <v>-7.3658057276374134</v>
      </c>
    </row>
    <row r="12" spans="1:13" ht="16.5" customHeight="1" x14ac:dyDescent="0.45">
      <c r="A12" s="116">
        <v>1997</v>
      </c>
      <c r="B12" s="117">
        <v>114.03726174297621</v>
      </c>
      <c r="C12" s="118">
        <v>7.0251179773747747</v>
      </c>
    </row>
    <row r="13" spans="1:13" ht="16.5" customHeight="1" x14ac:dyDescent="0.45">
      <c r="A13" s="119">
        <v>1998</v>
      </c>
      <c r="B13" s="114">
        <v>117.31915303619954</v>
      </c>
      <c r="C13" s="120">
        <v>2.8779113449954994</v>
      </c>
    </row>
    <row r="14" spans="1:13" ht="16.5" customHeight="1" x14ac:dyDescent="0.45">
      <c r="A14" s="116">
        <v>1999</v>
      </c>
      <c r="B14" s="117">
        <v>124.73428473228039</v>
      </c>
      <c r="C14" s="118">
        <v>6.3204783738873953</v>
      </c>
    </row>
    <row r="15" spans="1:13" ht="16.5" customHeight="1" x14ac:dyDescent="0.45">
      <c r="A15" s="119">
        <v>2000</v>
      </c>
      <c r="B15" s="114">
        <v>128.2930427050309</v>
      </c>
      <c r="C15" s="120">
        <v>2.8530712148538346</v>
      </c>
    </row>
    <row r="16" spans="1:13" ht="16.5" customHeight="1" x14ac:dyDescent="0.45">
      <c r="A16" s="116">
        <v>2001</v>
      </c>
      <c r="B16" s="117">
        <v>136.97467822597082</v>
      </c>
      <c r="C16" s="118">
        <v>6.7670353262262122</v>
      </c>
    </row>
    <row r="17" spans="1:3" ht="16.5" customHeight="1" x14ac:dyDescent="0.45">
      <c r="A17" s="119">
        <v>2002</v>
      </c>
      <c r="B17" s="114">
        <v>139.51013982605832</v>
      </c>
      <c r="C17" s="120">
        <v>1.8510440272067528</v>
      </c>
    </row>
    <row r="18" spans="1:3" ht="16.5" customHeight="1" x14ac:dyDescent="0.45">
      <c r="A18" s="116">
        <v>2003</v>
      </c>
      <c r="B18" s="117">
        <v>153.86772745036896</v>
      </c>
      <c r="C18" s="118">
        <v>10.291429456103854</v>
      </c>
    </row>
    <row r="19" spans="1:3" ht="16.5" customHeight="1" x14ac:dyDescent="0.45">
      <c r="A19" s="119">
        <v>2004</v>
      </c>
      <c r="B19" s="114">
        <v>159.64137908018984</v>
      </c>
      <c r="C19" s="120">
        <v>3.7523473736123156</v>
      </c>
    </row>
    <row r="20" spans="1:3" ht="16.5" customHeight="1" x14ac:dyDescent="0.45">
      <c r="A20" s="116">
        <v>2005</v>
      </c>
      <c r="B20" s="117">
        <v>157.13592812127436</v>
      </c>
      <c r="C20" s="118">
        <v>-1.5694245272442526</v>
      </c>
    </row>
    <row r="21" spans="1:3" ht="16.5" customHeight="1" x14ac:dyDescent="0.45">
      <c r="A21" s="119">
        <v>2006</v>
      </c>
      <c r="B21" s="114">
        <v>164.85795860548876</v>
      </c>
      <c r="C21" s="120">
        <v>4.9142360862594661</v>
      </c>
    </row>
    <row r="22" spans="1:3" ht="16.5" customHeight="1" x14ac:dyDescent="0.45">
      <c r="A22" s="116">
        <v>2007</v>
      </c>
      <c r="B22" s="117">
        <v>180.78064006776765</v>
      </c>
      <c r="C22" s="118">
        <v>9.6584244988635692</v>
      </c>
    </row>
    <row r="23" spans="1:3" ht="16.5" customHeight="1" x14ac:dyDescent="0.45">
      <c r="A23" s="119">
        <v>2008</v>
      </c>
      <c r="B23" s="114">
        <v>196.90957977720942</v>
      </c>
      <c r="C23" s="120">
        <v>8.9218290760535268</v>
      </c>
    </row>
    <row r="24" spans="1:3" ht="16.5" customHeight="1" x14ac:dyDescent="0.45">
      <c r="A24" s="116">
        <v>2009</v>
      </c>
      <c r="B24" s="117">
        <v>190.30947676981953</v>
      </c>
      <c r="C24" s="118">
        <v>-3.3518445445150431</v>
      </c>
    </row>
    <row r="25" spans="1:3" ht="16.5" customHeight="1" x14ac:dyDescent="0.45">
      <c r="A25" s="119">
        <v>2010</v>
      </c>
      <c r="B25" s="114">
        <v>203.58132140625628</v>
      </c>
      <c r="C25" s="120">
        <v>6.9738222508430994</v>
      </c>
    </row>
    <row r="26" spans="1:3" ht="16.5" customHeight="1" x14ac:dyDescent="0.45">
      <c r="A26" s="116">
        <v>2011</v>
      </c>
      <c r="B26" s="117">
        <v>217.04060018402259</v>
      </c>
      <c r="C26" s="118">
        <v>6.6112542569205939</v>
      </c>
    </row>
    <row r="27" spans="1:3" ht="16.5" customHeight="1" x14ac:dyDescent="0.45">
      <c r="A27" s="119">
        <v>2012</v>
      </c>
      <c r="B27" s="114">
        <v>210.93205316011404</v>
      </c>
      <c r="C27" s="120">
        <v>-2.8144720475013858</v>
      </c>
    </row>
    <row r="28" spans="1:3" ht="16.5" customHeight="1" x14ac:dyDescent="0.45">
      <c r="A28" s="116">
        <v>2013</v>
      </c>
      <c r="B28" s="117">
        <v>228.00911847668428</v>
      </c>
      <c r="C28" s="118">
        <v>8.0960029832959552</v>
      </c>
    </row>
    <row r="29" spans="1:3" ht="16.5" customHeight="1" x14ac:dyDescent="0.45">
      <c r="A29" s="119">
        <v>2014</v>
      </c>
      <c r="B29" s="114">
        <v>232.56171197227314</v>
      </c>
      <c r="C29" s="120">
        <v>1.9966716796260078</v>
      </c>
    </row>
    <row r="30" spans="1:3" ht="16.5" customHeight="1" x14ac:dyDescent="0.45">
      <c r="A30" s="116">
        <v>2015</v>
      </c>
      <c r="B30" s="117">
        <v>242.31800918291268</v>
      </c>
      <c r="C30" s="118">
        <v>4.1951433569609735</v>
      </c>
    </row>
    <row r="31" spans="1:3" ht="16.5" customHeight="1" x14ac:dyDescent="0.45">
      <c r="A31" s="119">
        <v>2016</v>
      </c>
      <c r="B31" s="114">
        <v>228.23864268484809</v>
      </c>
      <c r="C31" s="120">
        <v>-5.8102848176822217</v>
      </c>
    </row>
    <row r="32" spans="1:3" ht="16.5" customHeight="1" x14ac:dyDescent="0.45">
      <c r="A32" s="116">
        <v>2017</v>
      </c>
      <c r="B32" s="117">
        <v>253.8258521235316</v>
      </c>
      <c r="C32" s="118">
        <v>11.210726254630918</v>
      </c>
    </row>
    <row r="33" spans="1:12" ht="16.5" customHeight="1" x14ac:dyDescent="0.45">
      <c r="A33" s="119">
        <v>2018</v>
      </c>
      <c r="B33" s="114">
        <v>245.13449547955108</v>
      </c>
      <c r="C33" s="120">
        <v>-3.4241416196450429</v>
      </c>
    </row>
    <row r="34" spans="1:12" ht="16.5" customHeight="1" x14ac:dyDescent="0.45">
      <c r="A34" s="116">
        <v>2019</v>
      </c>
      <c r="B34" s="117">
        <v>248.61895382494558</v>
      </c>
      <c r="C34" s="118">
        <v>1.421447576595833</v>
      </c>
    </row>
    <row r="35" spans="1:12" ht="16.5" customHeight="1" x14ac:dyDescent="0.45">
      <c r="A35" s="119">
        <v>2020</v>
      </c>
      <c r="B35" s="114">
        <v>258.84777688038417</v>
      </c>
      <c r="C35" s="120">
        <v>4.1142571385127722</v>
      </c>
    </row>
    <row r="36" spans="1:12" ht="16.5" customHeight="1" x14ac:dyDescent="0.45">
      <c r="A36" s="116">
        <v>2021</v>
      </c>
      <c r="B36" s="117">
        <v>254.98782385273259</v>
      </c>
      <c r="C36" s="118">
        <v>-1.4912057867258806</v>
      </c>
    </row>
    <row r="37" spans="1:12" ht="16.5" customHeight="1" x14ac:dyDescent="0.45">
      <c r="A37" s="119">
        <v>2022</v>
      </c>
      <c r="B37" s="114">
        <v>256.90396455429726</v>
      </c>
      <c r="C37" s="120">
        <v>0.75146360818833946</v>
      </c>
    </row>
    <row r="38" spans="1:12" ht="16.5" customHeight="1" x14ac:dyDescent="0.45">
      <c r="A38" s="116">
        <v>2023</v>
      </c>
      <c r="B38" s="117">
        <v>298.26925574804238</v>
      </c>
      <c r="C38" s="118">
        <v>16.101460818446213</v>
      </c>
    </row>
    <row r="39" spans="1:12" ht="16.5" customHeight="1" x14ac:dyDescent="0.45">
      <c r="A39" s="119">
        <v>2024</v>
      </c>
      <c r="B39" s="114">
        <v>285.7998313549823</v>
      </c>
      <c r="C39" s="120">
        <v>-4.1805932568502477</v>
      </c>
    </row>
    <row r="40" spans="1:12" ht="16.5" customHeight="1" x14ac:dyDescent="0.45">
      <c r="A40" s="116">
        <v>2025</v>
      </c>
      <c r="B40" s="117">
        <v>309.12512709321078</v>
      </c>
      <c r="C40" s="118">
        <v>8.1614099027430562</v>
      </c>
    </row>
    <row r="41" spans="1:12" x14ac:dyDescent="0.45">
      <c r="A41" s="137" t="s">
        <v>87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</row>
    <row r="42" spans="1:12" x14ac:dyDescent="0.45">
      <c r="A42" s="137" t="s">
        <v>132</v>
      </c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</row>
    <row r="43" spans="1:12" x14ac:dyDescent="0.45">
      <c r="A43" s="137" t="s">
        <v>88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</row>
  </sheetData>
  <mergeCells count="3">
    <mergeCell ref="A43:L43"/>
    <mergeCell ref="A42:L42"/>
    <mergeCell ref="A41:L41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8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34"/>
  <sheetViews>
    <sheetView showGridLines="0" zoomScaleNormal="100" workbookViewId="0">
      <selection activeCell="A4" sqref="A4"/>
    </sheetView>
  </sheetViews>
  <sheetFormatPr defaultColWidth="9.109375" defaultRowHeight="17.399999999999999" customHeight="1" x14ac:dyDescent="0.45"/>
  <cols>
    <col min="1" max="1" width="27.33203125" style="3" customWidth="1"/>
    <col min="2" max="7" width="20.5546875" style="3" bestFit="1" customWidth="1"/>
    <col min="8" max="8" width="10.109375" style="3" bestFit="1" customWidth="1"/>
    <col min="9" max="9" width="10.33203125" style="3" bestFit="1" customWidth="1"/>
    <col min="10" max="10" width="9.5546875" style="3" bestFit="1" customWidth="1"/>
    <col min="11" max="11" width="9.109375" style="3" bestFit="1" customWidth="1"/>
    <col min="12" max="12" width="10.33203125" style="3" bestFit="1" customWidth="1"/>
    <col min="13" max="16384" width="9.109375" style="3"/>
  </cols>
  <sheetData>
    <row r="1" spans="1:12" ht="17.399999999999999" customHeight="1" x14ac:dyDescent="0.45">
      <c r="A1" s="138" t="s">
        <v>89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ht="17.399999999999999" customHeight="1" x14ac:dyDescent="0.45">
      <c r="B2" s="139" t="s">
        <v>90</v>
      </c>
      <c r="C2" s="139"/>
      <c r="D2" s="139"/>
      <c r="E2" s="139"/>
      <c r="F2" s="139"/>
      <c r="G2" s="139"/>
      <c r="H2" s="139" t="s">
        <v>91</v>
      </c>
      <c r="I2" s="139"/>
      <c r="J2" s="139"/>
      <c r="K2" s="139"/>
      <c r="L2" s="139"/>
    </row>
    <row r="3" spans="1:12" s="10" customFormat="1" ht="19.5" customHeight="1" thickBot="1" x14ac:dyDescent="0.5">
      <c r="A3" s="62" t="s">
        <v>3</v>
      </c>
      <c r="B3" s="63">
        <v>45506</v>
      </c>
      <c r="C3" s="64">
        <v>45537</v>
      </c>
      <c r="D3" s="64">
        <v>45567</v>
      </c>
      <c r="E3" s="64">
        <v>45598</v>
      </c>
      <c r="F3" s="64">
        <v>45627</v>
      </c>
      <c r="G3" s="65">
        <v>45658</v>
      </c>
      <c r="H3" s="63" t="s">
        <v>117</v>
      </c>
      <c r="I3" s="64" t="s">
        <v>124</v>
      </c>
      <c r="J3" s="64" t="s">
        <v>125</v>
      </c>
      <c r="K3" s="66" t="s">
        <v>126</v>
      </c>
      <c r="L3" s="65" t="s">
        <v>129</v>
      </c>
    </row>
    <row r="4" spans="1:12" s="15" customFormat="1" ht="19.5" customHeight="1" thickTop="1" x14ac:dyDescent="0.45">
      <c r="A4" s="67" t="s">
        <v>92</v>
      </c>
      <c r="B4" s="68">
        <v>34541763882.187607</v>
      </c>
      <c r="C4" s="69">
        <v>34611320721.200432</v>
      </c>
      <c r="D4" s="69">
        <v>34712815640.41832</v>
      </c>
      <c r="E4" s="69">
        <v>34487631052.693192</v>
      </c>
      <c r="F4" s="69">
        <v>34392671652.717636</v>
      </c>
      <c r="G4" s="70">
        <v>34275340952.380955</v>
      </c>
      <c r="H4" s="71">
        <v>0.2013702579001686</v>
      </c>
      <c r="I4" s="72">
        <v>0.29324197142155395</v>
      </c>
      <c r="J4" s="72">
        <v>-0.64870735366949761</v>
      </c>
      <c r="K4" s="73">
        <v>-0.27534335376780961</v>
      </c>
      <c r="L4" s="74">
        <v>-0.34115029364812921</v>
      </c>
    </row>
    <row r="5" spans="1:12" s="15" customFormat="1" ht="19.5" customHeight="1" x14ac:dyDescent="0.45">
      <c r="A5" s="75" t="s">
        <v>8</v>
      </c>
      <c r="B5" s="76">
        <v>5038524573.332613</v>
      </c>
      <c r="C5" s="77">
        <v>4315552718.4880953</v>
      </c>
      <c r="D5" s="77">
        <v>4460743559.9964418</v>
      </c>
      <c r="E5" s="77">
        <v>4438272053.4316235</v>
      </c>
      <c r="F5" s="77">
        <v>4415865622.0235548</v>
      </c>
      <c r="G5" s="78">
        <v>5468265594.666667</v>
      </c>
      <c r="H5" s="79">
        <v>-14.348880199393864</v>
      </c>
      <c r="I5" s="80">
        <v>3.3643625968543978</v>
      </c>
      <c r="J5" s="80">
        <v>-0.50376145282909901</v>
      </c>
      <c r="K5" s="81">
        <v>-0.50484583050163234</v>
      </c>
      <c r="L5" s="82">
        <v>23.832246330015217</v>
      </c>
    </row>
    <row r="6" spans="1:12" s="15" customFormat="1" ht="19.5" customHeight="1" x14ac:dyDescent="0.45">
      <c r="A6" s="67" t="s">
        <v>9</v>
      </c>
      <c r="B6" s="68">
        <v>25208322050.028931</v>
      </c>
      <c r="C6" s="69">
        <v>25389731471.842449</v>
      </c>
      <c r="D6" s="69">
        <v>25532749356.169975</v>
      </c>
      <c r="E6" s="69">
        <v>25480270368.878178</v>
      </c>
      <c r="F6" s="69">
        <v>25178295624.177536</v>
      </c>
      <c r="G6" s="70">
        <v>23373660350.305882</v>
      </c>
      <c r="H6" s="83">
        <v>0.71964100368715478</v>
      </c>
      <c r="I6" s="84">
        <v>0.56329025963166579</v>
      </c>
      <c r="J6" s="84">
        <v>-0.2055359826697134</v>
      </c>
      <c r="K6" s="85">
        <v>-1.185131634511527</v>
      </c>
      <c r="L6" s="86">
        <v>-7.1674242800563004</v>
      </c>
    </row>
    <row r="7" spans="1:12" s="15" customFormat="1" ht="19.5" customHeight="1" x14ac:dyDescent="0.45">
      <c r="A7" s="75" t="s">
        <v>10</v>
      </c>
      <c r="B7" s="76">
        <v>23301461361.775917</v>
      </c>
      <c r="C7" s="77">
        <v>22987542728.784649</v>
      </c>
      <c r="D7" s="77">
        <v>22623609697.436676</v>
      </c>
      <c r="E7" s="77">
        <v>22724388928.454052</v>
      </c>
      <c r="F7" s="77">
        <v>22391807765.254261</v>
      </c>
      <c r="G7" s="78">
        <v>20375524558.376404</v>
      </c>
      <c r="H7" s="79">
        <v>-1.3472057744250532</v>
      </c>
      <c r="I7" s="80">
        <v>-1.5831750076195084</v>
      </c>
      <c r="J7" s="80">
        <v>0.44546043874154062</v>
      </c>
      <c r="K7" s="81">
        <v>-1.4635428228538805</v>
      </c>
      <c r="L7" s="82">
        <v>-9.0045575061007632</v>
      </c>
    </row>
    <row r="8" spans="1:12" s="15" customFormat="1" ht="19.5" customHeight="1" x14ac:dyDescent="0.45">
      <c r="A8" s="67" t="s">
        <v>11</v>
      </c>
      <c r="B8" s="68">
        <v>17042618655.938379</v>
      </c>
      <c r="C8" s="69">
        <v>17442111097.543442</v>
      </c>
      <c r="D8" s="69">
        <v>17172217336.313602</v>
      </c>
      <c r="E8" s="69">
        <v>16722426610.310972</v>
      </c>
      <c r="F8" s="69">
        <v>16080057525.508556</v>
      </c>
      <c r="G8" s="70">
        <v>6247585355.999999</v>
      </c>
      <c r="H8" s="83">
        <v>2.344078980291342</v>
      </c>
      <c r="I8" s="84">
        <v>-1.5473686626606309</v>
      </c>
      <c r="J8" s="84">
        <v>-2.6192932292527615</v>
      </c>
      <c r="K8" s="85">
        <v>-3.8413628582249726</v>
      </c>
      <c r="L8" s="86">
        <v>-61.146996233756255</v>
      </c>
    </row>
    <row r="9" spans="1:12" s="15" customFormat="1" ht="19.5" customHeight="1" x14ac:dyDescent="0.45">
      <c r="A9" s="75" t="s">
        <v>12</v>
      </c>
      <c r="B9" s="76">
        <v>10505307662.497059</v>
      </c>
      <c r="C9" s="77">
        <v>10715735654.652937</v>
      </c>
      <c r="D9" s="77">
        <v>10349860041.897852</v>
      </c>
      <c r="E9" s="77">
        <v>10727797759.09936</v>
      </c>
      <c r="F9" s="77">
        <v>11181031633.483109</v>
      </c>
      <c r="G9" s="78">
        <v>13981548927.133335</v>
      </c>
      <c r="H9" s="79">
        <v>2.0030635838214073</v>
      </c>
      <c r="I9" s="80">
        <v>-3.4143769923646428</v>
      </c>
      <c r="J9" s="80">
        <v>3.6516215260066875</v>
      </c>
      <c r="K9" s="81">
        <v>4.2248547610744591</v>
      </c>
      <c r="L9" s="82">
        <v>25.047038461671999</v>
      </c>
    </row>
    <row r="10" spans="1:12" s="15" customFormat="1" ht="19.5" customHeight="1" x14ac:dyDescent="0.45">
      <c r="A10" s="67" t="s">
        <v>13</v>
      </c>
      <c r="B10" s="68">
        <v>73672215537.091644</v>
      </c>
      <c r="C10" s="69">
        <v>74629218304.585815</v>
      </c>
      <c r="D10" s="69">
        <v>73830281607.823578</v>
      </c>
      <c r="E10" s="69">
        <v>76246075964.167801</v>
      </c>
      <c r="F10" s="69">
        <v>79677560524.244904</v>
      </c>
      <c r="G10" s="70">
        <v>116424128810.33334</v>
      </c>
      <c r="H10" s="83">
        <v>1.2990009334147734</v>
      </c>
      <c r="I10" s="84">
        <v>-1.0705414245416822</v>
      </c>
      <c r="J10" s="84">
        <v>3.2720914829725167</v>
      </c>
      <c r="K10" s="85">
        <v>4.5005392299660718</v>
      </c>
      <c r="L10" s="86">
        <v>46.119093059967511</v>
      </c>
    </row>
    <row r="11" spans="1:12" s="15" customFormat="1" ht="19.5" customHeight="1" x14ac:dyDescent="0.45">
      <c r="A11" s="75" t="s">
        <v>14</v>
      </c>
      <c r="B11" s="76">
        <v>124009154389.1768</v>
      </c>
      <c r="C11" s="77">
        <v>121085595200.9763</v>
      </c>
      <c r="D11" s="77">
        <v>121453454395.23308</v>
      </c>
      <c r="E11" s="77">
        <v>120821822627.91902</v>
      </c>
      <c r="F11" s="77">
        <v>121589666384.67372</v>
      </c>
      <c r="G11" s="78">
        <v>126472474564.985</v>
      </c>
      <c r="H11" s="79">
        <v>-2.3575349760272757</v>
      </c>
      <c r="I11" s="80">
        <v>0.30380095472646307</v>
      </c>
      <c r="J11" s="80">
        <v>-0.52006076769015586</v>
      </c>
      <c r="K11" s="81">
        <v>0.63551744217544837</v>
      </c>
      <c r="L11" s="82">
        <v>4.0158085185163062</v>
      </c>
    </row>
    <row r="12" spans="1:12" s="15" customFormat="1" ht="19.5" customHeight="1" x14ac:dyDescent="0.45">
      <c r="A12" s="67" t="s">
        <v>15</v>
      </c>
      <c r="B12" s="68">
        <v>15472338975.059694</v>
      </c>
      <c r="C12" s="69">
        <v>15325049993.235149</v>
      </c>
      <c r="D12" s="69">
        <v>15180957200.695219</v>
      </c>
      <c r="E12" s="69">
        <v>15148883217.962843</v>
      </c>
      <c r="F12" s="69">
        <v>14964342602.970715</v>
      </c>
      <c r="G12" s="70">
        <v>15031862967.866669</v>
      </c>
      <c r="H12" s="83">
        <v>-0.95195032930679435</v>
      </c>
      <c r="I12" s="84">
        <v>-0.94024353984839548</v>
      </c>
      <c r="J12" s="84">
        <v>-0.21127773636636649</v>
      </c>
      <c r="K12" s="85">
        <v>-1.2181796660318045</v>
      </c>
      <c r="L12" s="86">
        <v>0.45120836034955314</v>
      </c>
    </row>
    <row r="13" spans="1:12" s="15" customFormat="1" ht="19.5" customHeight="1" x14ac:dyDescent="0.45">
      <c r="A13" s="75" t="s">
        <v>16</v>
      </c>
      <c r="B13" s="76">
        <v>32445954975.335022</v>
      </c>
      <c r="C13" s="77">
        <v>28586682297.778816</v>
      </c>
      <c r="D13" s="77">
        <v>29446132212.228848</v>
      </c>
      <c r="E13" s="77">
        <v>30193114663.835842</v>
      </c>
      <c r="F13" s="77">
        <v>28599837972.49564</v>
      </c>
      <c r="G13" s="78">
        <v>33086153095.391678</v>
      </c>
      <c r="H13" s="79">
        <v>-11.894464750659894</v>
      </c>
      <c r="I13" s="80">
        <v>3.0064696053127227</v>
      </c>
      <c r="J13" s="80">
        <v>2.5367761246985587</v>
      </c>
      <c r="K13" s="81">
        <v>-5.2769537329269589</v>
      </c>
      <c r="L13" s="82">
        <v>15.686505382339977</v>
      </c>
    </row>
    <row r="14" spans="1:12" s="15" customFormat="1" ht="19.5" customHeight="1" x14ac:dyDescent="0.45">
      <c r="A14" s="67" t="s">
        <v>17</v>
      </c>
      <c r="B14" s="68">
        <v>122230737.00285864</v>
      </c>
      <c r="C14" s="69">
        <v>122459600.77711357</v>
      </c>
      <c r="D14" s="69">
        <v>122749143.59415984</v>
      </c>
      <c r="E14" s="69">
        <v>122802415.35741271</v>
      </c>
      <c r="F14" s="69">
        <v>124484978.67157206</v>
      </c>
      <c r="G14" s="70">
        <v>174955447.33333334</v>
      </c>
      <c r="H14" s="83">
        <v>0.18723913466183184</v>
      </c>
      <c r="I14" s="84">
        <v>0.2364394585715246</v>
      </c>
      <c r="J14" s="84">
        <v>4.3398887921375362E-2</v>
      </c>
      <c r="K14" s="85">
        <v>1.3701386159729045</v>
      </c>
      <c r="L14" s="86">
        <v>40.543420740680048</v>
      </c>
    </row>
    <row r="15" spans="1:12" s="15" customFormat="1" ht="19.5" customHeight="1" x14ac:dyDescent="0.45">
      <c r="A15" s="75" t="s">
        <v>18</v>
      </c>
      <c r="B15" s="76">
        <v>20097563015.538403</v>
      </c>
      <c r="C15" s="77">
        <v>19955617137.812321</v>
      </c>
      <c r="D15" s="77">
        <v>19586117220.033928</v>
      </c>
      <c r="E15" s="77">
        <v>19454352716.578503</v>
      </c>
      <c r="F15" s="77">
        <v>19643701562.864594</v>
      </c>
      <c r="G15" s="78">
        <v>20500737259.862572</v>
      </c>
      <c r="H15" s="79">
        <v>-0.70628402864734152</v>
      </c>
      <c r="I15" s="80">
        <v>-1.8516085732986798</v>
      </c>
      <c r="J15" s="80">
        <v>-0.67274438305029438</v>
      </c>
      <c r="K15" s="81">
        <v>0.97329810477184697</v>
      </c>
      <c r="L15" s="82">
        <v>4.3629032657376499</v>
      </c>
    </row>
    <row r="16" spans="1:12" s="15" customFormat="1" ht="19.5" customHeight="1" x14ac:dyDescent="0.45">
      <c r="A16" s="67" t="s">
        <v>19</v>
      </c>
      <c r="B16" s="68">
        <v>126723400382.06746</v>
      </c>
      <c r="C16" s="69">
        <v>126379227907.00871</v>
      </c>
      <c r="D16" s="69">
        <v>125270088742.68222</v>
      </c>
      <c r="E16" s="69">
        <v>126080327885.65172</v>
      </c>
      <c r="F16" s="69">
        <v>125951154249.08844</v>
      </c>
      <c r="G16" s="70">
        <v>146997168073.01743</v>
      </c>
      <c r="H16" s="83">
        <v>-0.27159346578538024</v>
      </c>
      <c r="I16" s="84">
        <v>-0.8776277420705636</v>
      </c>
      <c r="J16" s="84">
        <v>0.64679378062373338</v>
      </c>
      <c r="K16" s="85">
        <v>-0.10245344276105239</v>
      </c>
      <c r="L16" s="86">
        <v>16.709663320994373</v>
      </c>
    </row>
    <row r="17" spans="1:22" s="15" customFormat="1" ht="19.5" customHeight="1" x14ac:dyDescent="0.45">
      <c r="A17" s="75" t="s">
        <v>20</v>
      </c>
      <c r="B17" s="76">
        <v>295851677777.97522</v>
      </c>
      <c r="C17" s="77">
        <v>295842138731.40057</v>
      </c>
      <c r="D17" s="77">
        <v>297618907299.27161</v>
      </c>
      <c r="E17" s="77">
        <v>299926637390.71198</v>
      </c>
      <c r="F17" s="77">
        <v>301206073071.59839</v>
      </c>
      <c r="G17" s="78">
        <v>341569815185.14288</v>
      </c>
      <c r="H17" s="79">
        <v>-3.2242665129689208E-3</v>
      </c>
      <c r="I17" s="80">
        <v>0.60057994966167261</v>
      </c>
      <c r="J17" s="80">
        <v>0.77539767630414591</v>
      </c>
      <c r="K17" s="81">
        <v>0.42658287773875703</v>
      </c>
      <c r="L17" s="82">
        <v>13.400706599946211</v>
      </c>
    </row>
    <row r="18" spans="1:22" s="15" customFormat="1" ht="19.5" customHeight="1" x14ac:dyDescent="0.45">
      <c r="A18" s="67" t="s">
        <v>21</v>
      </c>
      <c r="B18" s="68">
        <v>22206959611.515274</v>
      </c>
      <c r="C18" s="69">
        <v>20623709589.518898</v>
      </c>
      <c r="D18" s="69">
        <v>19868018366.851665</v>
      </c>
      <c r="E18" s="69">
        <v>19554058507.001995</v>
      </c>
      <c r="F18" s="69">
        <v>20707265239.79604</v>
      </c>
      <c r="G18" s="70">
        <v>16565426168.523411</v>
      </c>
      <c r="H18" s="83">
        <v>-7.1295217791785941</v>
      </c>
      <c r="I18" s="84">
        <v>-3.6641866943824652</v>
      </c>
      <c r="J18" s="84">
        <v>-1.5802273485587714</v>
      </c>
      <c r="K18" s="85">
        <v>5.8975313609760383</v>
      </c>
      <c r="L18" s="86">
        <v>-20.001864192634567</v>
      </c>
    </row>
    <row r="19" spans="1:22" s="15" customFormat="1" ht="19.5" customHeight="1" x14ac:dyDescent="0.45">
      <c r="A19" s="75" t="s">
        <v>22</v>
      </c>
      <c r="B19" s="76">
        <v>12816052418.218513</v>
      </c>
      <c r="C19" s="77">
        <v>12078103569.783459</v>
      </c>
      <c r="D19" s="77">
        <v>11638602235.702721</v>
      </c>
      <c r="E19" s="77">
        <v>11554012933.304392</v>
      </c>
      <c r="F19" s="77">
        <v>10623486720.606543</v>
      </c>
      <c r="G19" s="78">
        <v>9754685351.5249996</v>
      </c>
      <c r="H19" s="79">
        <v>-5.7580042930070459</v>
      </c>
      <c r="I19" s="80">
        <v>-3.6388273336243393</v>
      </c>
      <c r="J19" s="80">
        <v>-0.72679949606698768</v>
      </c>
      <c r="K19" s="81">
        <v>-8.0537058255804048</v>
      </c>
      <c r="L19" s="82">
        <v>-8.1781188411175325</v>
      </c>
    </row>
    <row r="20" spans="1:22" s="15" customFormat="1" ht="19.5" customHeight="1" x14ac:dyDescent="0.45">
      <c r="A20" s="67" t="s">
        <v>23</v>
      </c>
      <c r="B20" s="68">
        <v>8991036855.6598988</v>
      </c>
      <c r="C20" s="69">
        <v>9064090184.0975056</v>
      </c>
      <c r="D20" s="69">
        <v>9168173190.9072266</v>
      </c>
      <c r="E20" s="69">
        <v>11121014908.669291</v>
      </c>
      <c r="F20" s="69">
        <v>11300667693.944187</v>
      </c>
      <c r="G20" s="70">
        <v>11254776739.591837</v>
      </c>
      <c r="H20" s="83">
        <v>0.8125128348419608</v>
      </c>
      <c r="I20" s="84">
        <v>1.1483006534106277</v>
      </c>
      <c r="J20" s="84">
        <v>21.300227178287212</v>
      </c>
      <c r="K20" s="85">
        <v>1.6154351626203711</v>
      </c>
      <c r="L20" s="86">
        <v>-0.40609064521862637</v>
      </c>
    </row>
    <row r="21" spans="1:22" s="10" customFormat="1" ht="19.5" customHeight="1" thickBot="1" x14ac:dyDescent="0.5">
      <c r="A21" s="87" t="s">
        <v>24</v>
      </c>
      <c r="B21" s="88">
        <v>848046582860.40125</v>
      </c>
      <c r="C21" s="89">
        <v>839153886909.48682</v>
      </c>
      <c r="D21" s="89">
        <v>838035477247.2572</v>
      </c>
      <c r="E21" s="89">
        <v>844803890004.0282</v>
      </c>
      <c r="F21" s="89">
        <v>848027970824.11951</v>
      </c>
      <c r="G21" s="90">
        <v>941554109402.4364</v>
      </c>
      <c r="H21" s="91">
        <v>-1.0486093724851764</v>
      </c>
      <c r="I21" s="92">
        <v>-0.13327825559488193</v>
      </c>
      <c r="J21" s="92">
        <v>0.80765229402979255</v>
      </c>
      <c r="K21" s="93">
        <v>0.38163659734993249</v>
      </c>
      <c r="L21" s="94">
        <v>11.028662001257761</v>
      </c>
    </row>
    <row r="22" spans="1:22" ht="19.5" customHeight="1" thickTop="1" x14ac:dyDescent="0.45">
      <c r="A22" s="67" t="s">
        <v>25</v>
      </c>
      <c r="B22" s="95">
        <v>150918806863.19009</v>
      </c>
      <c r="C22" s="96">
        <v>151872687895.38846</v>
      </c>
      <c r="D22" s="96">
        <v>155241023880.49619</v>
      </c>
      <c r="E22" s="96">
        <v>165846622424.21082</v>
      </c>
      <c r="F22" s="96">
        <v>169322489106.0148</v>
      </c>
      <c r="G22" s="97">
        <v>206156930666.29041</v>
      </c>
      <c r="H22" s="83">
        <v>0.63204914750158991</v>
      </c>
      <c r="I22" s="84">
        <v>2.2178681577216031</v>
      </c>
      <c r="J22" s="84">
        <v>6.8316983994377578</v>
      </c>
      <c r="K22" s="85">
        <v>2.0958320591620172</v>
      </c>
      <c r="L22" s="86">
        <v>21.754016111358453</v>
      </c>
    </row>
    <row r="23" spans="1:22" ht="19.5" customHeight="1" x14ac:dyDescent="0.45">
      <c r="A23" s="75" t="s">
        <v>26</v>
      </c>
      <c r="B23" s="98">
        <v>51170603313.351143</v>
      </c>
      <c r="C23" s="99">
        <v>52457826687.643707</v>
      </c>
      <c r="D23" s="99">
        <v>53663314949.177032</v>
      </c>
      <c r="E23" s="99">
        <v>55261247500.12442</v>
      </c>
      <c r="F23" s="99">
        <v>56220517673.693687</v>
      </c>
      <c r="G23" s="100">
        <v>58793766415.693855</v>
      </c>
      <c r="H23" s="79">
        <v>2.5155524675174457</v>
      </c>
      <c r="I23" s="80">
        <v>2.2980141146740962</v>
      </c>
      <c r="J23" s="80">
        <v>2.9777000404480169</v>
      </c>
      <c r="K23" s="81">
        <v>1.7358822266310803</v>
      </c>
      <c r="L23" s="82">
        <v>4.5770634075897654</v>
      </c>
    </row>
    <row r="24" spans="1:22" ht="19.5" customHeight="1" x14ac:dyDescent="0.45">
      <c r="A24" s="67" t="s">
        <v>27</v>
      </c>
      <c r="B24" s="95">
        <v>104180405915.65233</v>
      </c>
      <c r="C24" s="96">
        <v>104075672598.79294</v>
      </c>
      <c r="D24" s="96">
        <v>103955914071.33176</v>
      </c>
      <c r="E24" s="96">
        <v>105606792814.45886</v>
      </c>
      <c r="F24" s="96">
        <v>106086854854.91859</v>
      </c>
      <c r="G24" s="97">
        <v>113005758883.42001</v>
      </c>
      <c r="H24" s="83">
        <v>-0.10053072450513234</v>
      </c>
      <c r="I24" s="84">
        <v>-0.11506870382942402</v>
      </c>
      <c r="J24" s="84">
        <v>1.5880565890597831</v>
      </c>
      <c r="K24" s="85">
        <v>0.45457496403962239</v>
      </c>
      <c r="L24" s="86">
        <v>6.5219239819707342</v>
      </c>
    </row>
    <row r="25" spans="1:22" ht="19.5" customHeight="1" x14ac:dyDescent="0.45">
      <c r="A25" s="75" t="s">
        <v>28</v>
      </c>
      <c r="B25" s="98">
        <v>66494160778.881294</v>
      </c>
      <c r="C25" s="99">
        <v>66897957184.215637</v>
      </c>
      <c r="D25" s="99">
        <v>67276505609.442589</v>
      </c>
      <c r="E25" s="99">
        <v>67693552286.764</v>
      </c>
      <c r="F25" s="99">
        <v>67877155815.772659</v>
      </c>
      <c r="G25" s="100">
        <v>69342986180</v>
      </c>
      <c r="H25" s="79">
        <v>0.60726596231077679</v>
      </c>
      <c r="I25" s="80">
        <v>0.56585946889911032</v>
      </c>
      <c r="J25" s="80">
        <v>0.61989943375251322</v>
      </c>
      <c r="K25" s="81">
        <v>0.27122749923194078</v>
      </c>
      <c r="L25" s="82">
        <v>2.1595341563895198</v>
      </c>
    </row>
    <row r="26" spans="1:22" ht="19.5" customHeight="1" x14ac:dyDescent="0.45">
      <c r="A26" s="67" t="s">
        <v>29</v>
      </c>
      <c r="B26" s="95">
        <v>26809029742.456253</v>
      </c>
      <c r="C26" s="96">
        <v>26381490257.438366</v>
      </c>
      <c r="D26" s="96">
        <v>25982225835.159714</v>
      </c>
      <c r="E26" s="96">
        <v>26331227001.017971</v>
      </c>
      <c r="F26" s="96">
        <v>26201310665.117214</v>
      </c>
      <c r="G26" s="97">
        <v>24726222813.214283</v>
      </c>
      <c r="H26" s="83">
        <v>-1.5947592625510487</v>
      </c>
      <c r="I26" s="84">
        <v>-1.5134263393861036</v>
      </c>
      <c r="J26" s="84">
        <v>1.3432304378864224</v>
      </c>
      <c r="K26" s="85">
        <v>-0.49339263945328282</v>
      </c>
      <c r="L26" s="86">
        <v>-5.6298246708198825</v>
      </c>
    </row>
    <row r="27" spans="1:22" ht="19.5" customHeight="1" thickBot="1" x14ac:dyDescent="0.5">
      <c r="A27" s="87" t="s">
        <v>30</v>
      </c>
      <c r="B27" s="88">
        <v>399573006613.53107</v>
      </c>
      <c r="C27" s="89">
        <v>401685634623.47906</v>
      </c>
      <c r="D27" s="89">
        <v>406118984345.6073</v>
      </c>
      <c r="E27" s="89">
        <v>420739442026.57599</v>
      </c>
      <c r="F27" s="89">
        <v>425708328115.51691</v>
      </c>
      <c r="G27" s="90">
        <v>472025664958.61859</v>
      </c>
      <c r="H27" s="91">
        <v>0.52872140384381261</v>
      </c>
      <c r="I27" s="92">
        <v>1.1036864005066649</v>
      </c>
      <c r="J27" s="92">
        <v>3.6000429047972515</v>
      </c>
      <c r="K27" s="93">
        <v>1.1809888954092962</v>
      </c>
      <c r="L27" s="94">
        <v>10.880063598505263</v>
      </c>
    </row>
    <row r="28" spans="1:22" ht="19.5" customHeight="1" thickTop="1" thickBot="1" x14ac:dyDescent="0.5">
      <c r="A28" s="101" t="s">
        <v>31</v>
      </c>
      <c r="B28" s="102">
        <v>1247619589473.9324</v>
      </c>
      <c r="C28" s="103">
        <v>1240839521532.9658</v>
      </c>
      <c r="D28" s="103">
        <v>1244154461592.8645</v>
      </c>
      <c r="E28" s="103">
        <v>1265543332030.6042</v>
      </c>
      <c r="F28" s="103">
        <v>1273736298939.6365</v>
      </c>
      <c r="G28" s="104">
        <v>1413579774361.0549</v>
      </c>
      <c r="H28" s="105">
        <v>-0.54344032413160548</v>
      </c>
      <c r="I28" s="106">
        <v>0.26715300426627397</v>
      </c>
      <c r="J28" s="106">
        <v>1.7191491167709128</v>
      </c>
      <c r="K28" s="107">
        <v>0.64738730801783273</v>
      </c>
      <c r="L28" s="108">
        <v>10.978997421823955</v>
      </c>
    </row>
    <row r="29" spans="1:22" s="2" customFormat="1" ht="27" customHeight="1" thickTop="1" x14ac:dyDescent="0.35">
      <c r="A29" s="130" t="s">
        <v>136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30"/>
    </row>
    <row r="30" spans="1:22" s="2" customFormat="1" ht="15" x14ac:dyDescent="0.35">
      <c r="A30" s="130" t="s">
        <v>135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</row>
    <row r="31" spans="1:22" s="2" customFormat="1" ht="27" customHeight="1" x14ac:dyDescent="0.35">
      <c r="A31" s="130" t="s">
        <v>120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31"/>
      <c r="N31" s="31"/>
      <c r="O31" s="31"/>
      <c r="P31" s="31"/>
      <c r="Q31" s="31"/>
      <c r="R31" s="31"/>
      <c r="S31" s="31"/>
      <c r="T31" s="31"/>
      <c r="U31" s="31"/>
      <c r="V31" s="31"/>
    </row>
    <row r="32" spans="1:22" s="2" customFormat="1" ht="15" x14ac:dyDescent="0.35">
      <c r="A32" s="131" t="s">
        <v>34</v>
      </c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</row>
    <row r="33" spans="1:3" s="2" customFormat="1" ht="15" x14ac:dyDescent="0.35">
      <c r="A33" s="30" t="s">
        <v>93</v>
      </c>
    </row>
    <row r="34" spans="1:3" s="2" customFormat="1" ht="15" x14ac:dyDescent="0.35">
      <c r="A34" s="136" t="s">
        <v>37</v>
      </c>
      <c r="B34" s="136"/>
      <c r="C34" s="136"/>
    </row>
  </sheetData>
  <mergeCells count="8">
    <mergeCell ref="A1:L1"/>
    <mergeCell ref="H2:L2"/>
    <mergeCell ref="B2:G2"/>
    <mergeCell ref="A31:L31"/>
    <mergeCell ref="A34:C34"/>
    <mergeCell ref="A30:L30"/>
    <mergeCell ref="A29:L29"/>
    <mergeCell ref="A32:L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H48"/>
  <sheetViews>
    <sheetView showGridLines="0" zoomScaleNormal="100" workbookViewId="0">
      <pane xSplit="1" ySplit="3" topLeftCell="B4" activePane="bottomRight" state="frozen"/>
      <selection activeCell="A4" sqref="A4"/>
      <selection pane="topRight" activeCell="A4" sqref="A4"/>
      <selection pane="bottomLeft" activeCell="A4" sqref="A4"/>
      <selection pane="bottomRight" activeCell="A3" sqref="A3"/>
    </sheetView>
  </sheetViews>
  <sheetFormatPr defaultColWidth="9.109375" defaultRowHeight="19.2" x14ac:dyDescent="0.45"/>
  <cols>
    <col min="1" max="1" width="21.109375" style="3" customWidth="1"/>
    <col min="2" max="2" width="8.33203125" style="3" bestFit="1" customWidth="1"/>
    <col min="3" max="3" width="9.5546875" style="3" bestFit="1" customWidth="1"/>
    <col min="4" max="4" width="11.44140625" style="3" bestFit="1" customWidth="1"/>
    <col min="5" max="5" width="12.6640625" style="3" bestFit="1" customWidth="1"/>
    <col min="6" max="6" width="14.109375" style="3" bestFit="1" customWidth="1"/>
    <col min="7" max="14" width="17.33203125" style="3" bestFit="1" customWidth="1"/>
    <col min="15" max="33" width="18.6640625" style="3" bestFit="1" customWidth="1"/>
    <col min="34" max="38" width="20.5546875" style="3" bestFit="1" customWidth="1"/>
    <col min="39" max="16384" width="9.109375" style="3"/>
  </cols>
  <sheetData>
    <row r="1" spans="1:38" ht="22.5" customHeight="1" x14ac:dyDescent="0.45">
      <c r="B1" s="10"/>
      <c r="C1" s="10" t="s">
        <v>94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x14ac:dyDescent="0.45">
      <c r="C2" s="3" t="s">
        <v>2</v>
      </c>
    </row>
    <row r="3" spans="1:38" s="10" customFormat="1" ht="33" customHeight="1" thickBot="1" x14ac:dyDescent="0.5">
      <c r="A3" s="6" t="s">
        <v>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  <c r="U3" s="7" t="s">
        <v>58</v>
      </c>
      <c r="V3" s="7" t="s">
        <v>59</v>
      </c>
      <c r="W3" s="7" t="s">
        <v>60</v>
      </c>
      <c r="X3" s="7" t="s">
        <v>61</v>
      </c>
      <c r="Y3" s="7" t="s">
        <v>62</v>
      </c>
      <c r="Z3" s="7" t="s">
        <v>63</v>
      </c>
      <c r="AA3" s="7" t="s">
        <v>64</v>
      </c>
      <c r="AB3" s="7" t="s">
        <v>65</v>
      </c>
      <c r="AC3" s="55">
        <v>2016</v>
      </c>
      <c r="AD3" s="55">
        <v>2017</v>
      </c>
      <c r="AE3" s="55">
        <v>2018</v>
      </c>
      <c r="AF3" s="55">
        <v>2019</v>
      </c>
      <c r="AG3" s="55">
        <v>2020</v>
      </c>
      <c r="AH3" s="55">
        <v>2021</v>
      </c>
      <c r="AI3" s="55">
        <v>2022</v>
      </c>
      <c r="AJ3" s="55">
        <v>2023</v>
      </c>
      <c r="AK3" s="55" t="s">
        <v>4</v>
      </c>
      <c r="AL3" s="55" t="s">
        <v>118</v>
      </c>
    </row>
    <row r="4" spans="1:38" s="15" customFormat="1" ht="18" customHeight="1" thickTop="1" x14ac:dyDescent="0.45">
      <c r="A4" s="11" t="s">
        <v>7</v>
      </c>
      <c r="B4" s="12">
        <v>688.3385331245006</v>
      </c>
      <c r="C4" s="12">
        <v>16232.296060605373</v>
      </c>
      <c r="D4" s="12">
        <v>94045.051486059383</v>
      </c>
      <c r="E4" s="12">
        <v>895547.2397727255</v>
      </c>
      <c r="F4" s="12">
        <v>11953713.792363614</v>
      </c>
      <c r="G4" s="12">
        <v>386418764.89090884</v>
      </c>
      <c r="H4" s="12">
        <v>607843463.33333337</v>
      </c>
      <c r="I4" s="12">
        <v>464899681.66666663</v>
      </c>
      <c r="J4" s="12">
        <v>468124469.99999994</v>
      </c>
      <c r="K4" s="12">
        <v>589915223.33333337</v>
      </c>
      <c r="L4" s="12">
        <v>849292249.99999988</v>
      </c>
      <c r="M4" s="12">
        <v>1277854939.9999998</v>
      </c>
      <c r="N4" s="12">
        <v>1608143766.6666663</v>
      </c>
      <c r="O4" s="12">
        <v>1518014811.6666665</v>
      </c>
      <c r="P4" s="12">
        <v>2435689310.0000005</v>
      </c>
      <c r="Q4" s="12">
        <v>4748100000</v>
      </c>
      <c r="R4" s="12">
        <v>3632553533.333333</v>
      </c>
      <c r="S4" s="12">
        <v>2722382139.166666</v>
      </c>
      <c r="T4" s="12">
        <v>3960091860.0000005</v>
      </c>
      <c r="U4" s="12">
        <v>4132550287.4999995</v>
      </c>
      <c r="V4" s="12">
        <v>2899956618.3333335</v>
      </c>
      <c r="W4" s="12">
        <v>2962136020.8333335</v>
      </c>
      <c r="X4" s="12">
        <v>8400487830.0000019</v>
      </c>
      <c r="Y4" s="12">
        <v>11089294493.333334</v>
      </c>
      <c r="Z4" s="12">
        <v>8366434873.333333</v>
      </c>
      <c r="AA4" s="12">
        <v>11333341024.999998</v>
      </c>
      <c r="AB4" s="12">
        <v>12396934565.000002</v>
      </c>
      <c r="AC4" s="56">
        <v>12402047338.33333</v>
      </c>
      <c r="AD4" s="56">
        <v>8593813215.6635818</v>
      </c>
      <c r="AE4" s="56">
        <v>13542991354.629631</v>
      </c>
      <c r="AF4" s="56">
        <v>16517815431.790127</v>
      </c>
      <c r="AG4" s="56">
        <v>20164730271.604939</v>
      </c>
      <c r="AH4" s="56">
        <v>26441155996.141972</v>
      </c>
      <c r="AI4" s="56">
        <v>34794331999.60318</v>
      </c>
      <c r="AJ4" s="56">
        <v>30455754095.601856</v>
      </c>
      <c r="AK4" s="56">
        <v>32799428607.14286</v>
      </c>
      <c r="AL4" s="56">
        <v>34275340952.380955</v>
      </c>
    </row>
    <row r="5" spans="1:38" s="15" customFormat="1" ht="18" customHeight="1" x14ac:dyDescent="0.45">
      <c r="A5" s="16" t="s">
        <v>8</v>
      </c>
      <c r="B5" s="17">
        <v>52.609567964250004</v>
      </c>
      <c r="C5" s="17">
        <v>1202.3795833332651</v>
      </c>
      <c r="D5" s="17">
        <v>6919.9020751514427</v>
      </c>
      <c r="E5" s="17">
        <v>61094.608119999903</v>
      </c>
      <c r="F5" s="17">
        <v>1652977.6606060578</v>
      </c>
      <c r="G5" s="17">
        <v>38726765.57272727</v>
      </c>
      <c r="H5" s="17">
        <v>57985634.166666664</v>
      </c>
      <c r="I5" s="17">
        <v>61582635</v>
      </c>
      <c r="J5" s="17">
        <v>69803512.5</v>
      </c>
      <c r="K5" s="17">
        <v>77905446.666666672</v>
      </c>
      <c r="L5" s="17">
        <v>106306942.5</v>
      </c>
      <c r="M5" s="17">
        <v>134497925</v>
      </c>
      <c r="N5" s="17">
        <v>106429982.5</v>
      </c>
      <c r="O5" s="17">
        <v>153135203.33333334</v>
      </c>
      <c r="P5" s="17">
        <v>219161932.50000003</v>
      </c>
      <c r="Q5" s="17">
        <v>276493886.66666663</v>
      </c>
      <c r="R5" s="17">
        <v>307620724.16666669</v>
      </c>
      <c r="S5" s="17">
        <v>237211936.66666669</v>
      </c>
      <c r="T5" s="17">
        <v>314371733.33333331</v>
      </c>
      <c r="U5" s="17">
        <v>498919190</v>
      </c>
      <c r="V5" s="17">
        <v>311694588.33333331</v>
      </c>
      <c r="W5" s="17">
        <v>317014187.50000006</v>
      </c>
      <c r="X5" s="17">
        <v>471752629.07500005</v>
      </c>
      <c r="Y5" s="17">
        <v>560370038.17142868</v>
      </c>
      <c r="Z5" s="17">
        <v>732086847.27744722</v>
      </c>
      <c r="AA5" s="17">
        <v>870978064.57142866</v>
      </c>
      <c r="AB5" s="17">
        <v>996274201.25793648</v>
      </c>
      <c r="AC5" s="57">
        <v>1233157872.5277777</v>
      </c>
      <c r="AD5" s="57">
        <v>1284280034.7055554</v>
      </c>
      <c r="AE5" s="57">
        <v>1228221105.4777777</v>
      </c>
      <c r="AF5" s="57">
        <v>1515215752.5</v>
      </c>
      <c r="AG5" s="57">
        <v>2364061397.1916666</v>
      </c>
      <c r="AH5" s="57">
        <v>2755401562.7166662</v>
      </c>
      <c r="AI5" s="57">
        <v>3573467935.6500001</v>
      </c>
      <c r="AJ5" s="57">
        <v>4385539388.625</v>
      </c>
      <c r="AK5" s="57">
        <v>4210959022.1111116</v>
      </c>
      <c r="AL5" s="57">
        <v>5468265594.666667</v>
      </c>
    </row>
    <row r="6" spans="1:38" s="15" customFormat="1" ht="18" customHeight="1" x14ac:dyDescent="0.45">
      <c r="A6" s="11" t="s">
        <v>9</v>
      </c>
      <c r="B6" s="12">
        <v>1587.6227264723668</v>
      </c>
      <c r="C6" s="12">
        <v>36715.618314238658</v>
      </c>
      <c r="D6" s="12">
        <v>276690.41019545094</v>
      </c>
      <c r="E6" s="12">
        <v>2549354.560404845</v>
      </c>
      <c r="F6" s="12">
        <v>56622375.748484671</v>
      </c>
      <c r="G6" s="12">
        <v>1351753975.5384841</v>
      </c>
      <c r="H6" s="12">
        <v>1983271306.6666663</v>
      </c>
      <c r="I6" s="12">
        <v>1788147786.6666667</v>
      </c>
      <c r="J6" s="12">
        <v>1920882950</v>
      </c>
      <c r="K6" s="12">
        <v>2218375875</v>
      </c>
      <c r="L6" s="12">
        <v>3337262789.9999995</v>
      </c>
      <c r="M6" s="12">
        <v>2774368176.6666675</v>
      </c>
      <c r="N6" s="12">
        <v>2995847754.1666665</v>
      </c>
      <c r="O6" s="12">
        <v>4073934539.9999995</v>
      </c>
      <c r="P6" s="12">
        <v>6045742755.000001</v>
      </c>
      <c r="Q6" s="12">
        <v>8419835906.666667</v>
      </c>
      <c r="R6" s="12">
        <v>6508479080.000001</v>
      </c>
      <c r="S6" s="12">
        <v>5235036104.1666679</v>
      </c>
      <c r="T6" s="12">
        <v>5521153215.833334</v>
      </c>
      <c r="U6" s="12">
        <v>7890208354.166667</v>
      </c>
      <c r="V6" s="12">
        <v>8581692680</v>
      </c>
      <c r="W6" s="12">
        <v>7022491250.000001</v>
      </c>
      <c r="X6" s="12">
        <v>7479731670.000001</v>
      </c>
      <c r="Y6" s="12">
        <v>7132051517.500001</v>
      </c>
      <c r="Z6" s="12">
        <v>9180569429.1666679</v>
      </c>
      <c r="AA6" s="12">
        <v>9923115630</v>
      </c>
      <c r="AB6" s="12">
        <v>9871713802.5000019</v>
      </c>
      <c r="AC6" s="56">
        <v>9958302187.4999981</v>
      </c>
      <c r="AD6" s="56">
        <v>10974725852.249506</v>
      </c>
      <c r="AE6" s="56">
        <v>9676195906.4042721</v>
      </c>
      <c r="AF6" s="56">
        <v>9692832728.5643311</v>
      </c>
      <c r="AG6" s="56">
        <v>15110521178.252802</v>
      </c>
      <c r="AH6" s="56">
        <v>19255752409.311829</v>
      </c>
      <c r="AI6" s="56">
        <v>17036229351.869711</v>
      </c>
      <c r="AJ6" s="56">
        <v>20344812451.234085</v>
      </c>
      <c r="AK6" s="56">
        <v>24009963208.850006</v>
      </c>
      <c r="AL6" s="56">
        <v>23373660350.305882</v>
      </c>
    </row>
    <row r="7" spans="1:38" s="15" customFormat="1" ht="18" customHeight="1" x14ac:dyDescent="0.45">
      <c r="A7" s="16" t="s">
        <v>10</v>
      </c>
      <c r="B7" s="17">
        <v>1047.9353840017093</v>
      </c>
      <c r="C7" s="17">
        <v>32746.722622097863</v>
      </c>
      <c r="D7" s="17">
        <v>145283.63128723495</v>
      </c>
      <c r="E7" s="17">
        <v>1277028.6398111971</v>
      </c>
      <c r="F7" s="17">
        <v>28051838.838072661</v>
      </c>
      <c r="G7" s="17">
        <v>1028973417.4174905</v>
      </c>
      <c r="H7" s="17">
        <v>2289095536.1999998</v>
      </c>
      <c r="I7" s="17">
        <v>1742230040.8500001</v>
      </c>
      <c r="J7" s="17">
        <v>1634559781.7999997</v>
      </c>
      <c r="K7" s="17">
        <v>1711153827.4999998</v>
      </c>
      <c r="L7" s="17">
        <v>2022593124.1249995</v>
      </c>
      <c r="M7" s="17">
        <v>2000879246.3999994</v>
      </c>
      <c r="N7" s="17">
        <v>2157162193.0416665</v>
      </c>
      <c r="O7" s="17">
        <v>2392775071.458333</v>
      </c>
      <c r="P7" s="17">
        <v>3059024578.9583335</v>
      </c>
      <c r="Q7" s="17">
        <v>3310984061.666666</v>
      </c>
      <c r="R7" s="17">
        <v>3570677733.333333</v>
      </c>
      <c r="S7" s="17">
        <v>3764452202.1666665</v>
      </c>
      <c r="T7" s="17">
        <v>4183296034.666667</v>
      </c>
      <c r="U7" s="17">
        <v>4689343679.166667</v>
      </c>
      <c r="V7" s="17">
        <v>4593553311.666666</v>
      </c>
      <c r="W7" s="17">
        <v>5425314333.25</v>
      </c>
      <c r="X7" s="17">
        <v>6416951860.5000019</v>
      </c>
      <c r="Y7" s="17">
        <v>6409540617</v>
      </c>
      <c r="Z7" s="17">
        <v>7738404157.916666</v>
      </c>
      <c r="AA7" s="17">
        <v>8615769162.041666</v>
      </c>
      <c r="AB7" s="17">
        <v>9022465073.6250019</v>
      </c>
      <c r="AC7" s="57">
        <v>14639689370.833332</v>
      </c>
      <c r="AD7" s="57">
        <v>10837891127.271633</v>
      </c>
      <c r="AE7" s="57">
        <v>9933889145.6921024</v>
      </c>
      <c r="AF7" s="57">
        <v>12133653064.442739</v>
      </c>
      <c r="AG7" s="57">
        <v>10612069116.133684</v>
      </c>
      <c r="AH7" s="57">
        <v>12036577054.281368</v>
      </c>
      <c r="AI7" s="57">
        <v>15866910333.283648</v>
      </c>
      <c r="AJ7" s="57">
        <v>17570532732.557796</v>
      </c>
      <c r="AK7" s="57">
        <v>21352774971.278805</v>
      </c>
      <c r="AL7" s="57">
        <v>20375524558.376404</v>
      </c>
    </row>
    <row r="8" spans="1:38" s="15" customFormat="1" ht="18" customHeight="1" x14ac:dyDescent="0.45">
      <c r="A8" s="11" t="s">
        <v>11</v>
      </c>
      <c r="B8" s="12">
        <v>521.36437785459998</v>
      </c>
      <c r="C8" s="12">
        <v>18491.148569090383</v>
      </c>
      <c r="D8" s="12">
        <v>69955.204257574806</v>
      </c>
      <c r="E8" s="12">
        <v>814729.71516363486</v>
      </c>
      <c r="F8" s="12">
        <v>13637711.172030278</v>
      </c>
      <c r="G8" s="12">
        <v>671767587.74090874</v>
      </c>
      <c r="H8" s="12">
        <v>852540766.66666675</v>
      </c>
      <c r="I8" s="12">
        <v>651387420</v>
      </c>
      <c r="J8" s="12">
        <v>850106938.33333337</v>
      </c>
      <c r="K8" s="12">
        <v>1132233606.6666667</v>
      </c>
      <c r="L8" s="12">
        <v>876326583.33333337</v>
      </c>
      <c r="M8" s="12">
        <v>990634160</v>
      </c>
      <c r="N8" s="12">
        <v>1607121273.3333335</v>
      </c>
      <c r="O8" s="12">
        <v>1591864267.5</v>
      </c>
      <c r="P8" s="12">
        <v>1850835420.0000002</v>
      </c>
      <c r="Q8" s="12">
        <v>1653042527.5</v>
      </c>
      <c r="R8" s="12">
        <v>2045047013.3333337</v>
      </c>
      <c r="S8" s="12">
        <v>1956693454.1666667</v>
      </c>
      <c r="T8" s="12">
        <v>2219069375.0000005</v>
      </c>
      <c r="U8" s="12">
        <v>2506446070</v>
      </c>
      <c r="V8" s="12">
        <v>3162475519.999999</v>
      </c>
      <c r="W8" s="12">
        <v>3553422516.666667</v>
      </c>
      <c r="X8" s="12">
        <v>3182752625</v>
      </c>
      <c r="Y8" s="12">
        <v>2658906075</v>
      </c>
      <c r="Z8" s="12">
        <v>4217142773.3333335</v>
      </c>
      <c r="AA8" s="12">
        <v>5171920126.666666</v>
      </c>
      <c r="AB8" s="12">
        <v>5463099412.499999</v>
      </c>
      <c r="AC8" s="56">
        <v>7253466233.333334</v>
      </c>
      <c r="AD8" s="56">
        <v>3930224624.6223211</v>
      </c>
      <c r="AE8" s="56">
        <v>3972479029.9872022</v>
      </c>
      <c r="AF8" s="56">
        <v>7883012846.8605156</v>
      </c>
      <c r="AG8" s="56">
        <v>7154121587.3150787</v>
      </c>
      <c r="AH8" s="56">
        <v>8401117336.5087318</v>
      </c>
      <c r="AI8" s="56">
        <v>11327646735.907143</v>
      </c>
      <c r="AJ8" s="56">
        <v>10774054198.392855</v>
      </c>
      <c r="AK8" s="56">
        <v>15333904857.837801</v>
      </c>
      <c r="AL8" s="56">
        <v>6247585355.999999</v>
      </c>
    </row>
    <row r="9" spans="1:38" s="15" customFormat="1" ht="18" customHeight="1" x14ac:dyDescent="0.45">
      <c r="A9" s="16" t="s">
        <v>12</v>
      </c>
      <c r="B9" s="17">
        <v>319.71323373599995</v>
      </c>
      <c r="C9" s="17">
        <v>7173.5637719999859</v>
      </c>
      <c r="D9" s="17">
        <v>39777.881234363544</v>
      </c>
      <c r="E9" s="17">
        <v>400192.33169090824</v>
      </c>
      <c r="F9" s="17">
        <v>9360554.0388383567</v>
      </c>
      <c r="G9" s="17">
        <v>209695162.18628272</v>
      </c>
      <c r="H9" s="17">
        <v>297825885.55555552</v>
      </c>
      <c r="I9" s="17">
        <v>275008167.00000006</v>
      </c>
      <c r="J9" s="17">
        <v>399699665.44444454</v>
      </c>
      <c r="K9" s="17">
        <v>448766798.16666669</v>
      </c>
      <c r="L9" s="17">
        <v>365702573.88888884</v>
      </c>
      <c r="M9" s="17">
        <v>298341540.66666663</v>
      </c>
      <c r="N9" s="17">
        <v>427713675.22222221</v>
      </c>
      <c r="O9" s="17">
        <v>917921772.22222209</v>
      </c>
      <c r="P9" s="17">
        <v>937562615.33333349</v>
      </c>
      <c r="Q9" s="17">
        <v>841101011.66666651</v>
      </c>
      <c r="R9" s="17">
        <v>749490530.00000012</v>
      </c>
      <c r="S9" s="17">
        <v>675737959.44444442</v>
      </c>
      <c r="T9" s="17">
        <v>755586297.00000012</v>
      </c>
      <c r="U9" s="17">
        <v>951460284.99999988</v>
      </c>
      <c r="V9" s="17">
        <v>1245800735.8333333</v>
      </c>
      <c r="W9" s="17">
        <v>1325475458.9999998</v>
      </c>
      <c r="X9" s="17">
        <v>1228247028.6666665</v>
      </c>
      <c r="Y9" s="17">
        <v>1201486194.9999995</v>
      </c>
      <c r="Z9" s="17">
        <v>1219061081</v>
      </c>
      <c r="AA9" s="17">
        <v>1047623282.3333335</v>
      </c>
      <c r="AB9" s="17">
        <v>1299584686.2222223</v>
      </c>
      <c r="AC9" s="57">
        <v>1867197478.8833337</v>
      </c>
      <c r="AD9" s="57">
        <v>1372320200.4000001</v>
      </c>
      <c r="AE9" s="57">
        <v>1968517139.0740743</v>
      </c>
      <c r="AF9" s="57">
        <v>2192472776.666667</v>
      </c>
      <c r="AG9" s="57">
        <v>3113002806.081018</v>
      </c>
      <c r="AH9" s="57">
        <v>4056632816.4833331</v>
      </c>
      <c r="AI9" s="57">
        <v>3305513830.125</v>
      </c>
      <c r="AJ9" s="57">
        <v>4117731010.7361107</v>
      </c>
      <c r="AK9" s="57">
        <v>10662205344.000002</v>
      </c>
      <c r="AL9" s="57">
        <v>13981548927.133335</v>
      </c>
    </row>
    <row r="10" spans="1:38" s="15" customFormat="1" ht="18" customHeight="1" x14ac:dyDescent="0.45">
      <c r="A10" s="11" t="s">
        <v>13</v>
      </c>
      <c r="B10" s="140" t="s">
        <v>116</v>
      </c>
      <c r="C10" s="140" t="s">
        <v>116</v>
      </c>
      <c r="D10" s="140" t="s">
        <v>116</v>
      </c>
      <c r="E10" s="140" t="s">
        <v>116</v>
      </c>
      <c r="F10" s="140" t="s">
        <v>116</v>
      </c>
      <c r="G10" s="140" t="s">
        <v>116</v>
      </c>
      <c r="H10" s="140" t="s">
        <v>116</v>
      </c>
      <c r="I10" s="140" t="s">
        <v>116</v>
      </c>
      <c r="J10" s="12">
        <v>4356566262.6867266</v>
      </c>
      <c r="K10" s="12">
        <v>4618545413.7573166</v>
      </c>
      <c r="L10" s="12">
        <v>4984747133.2731934</v>
      </c>
      <c r="M10" s="12">
        <v>5210903611.9710016</v>
      </c>
      <c r="N10" s="12">
        <v>3577472432.6406512</v>
      </c>
      <c r="O10" s="12">
        <v>5650279941.0016623</v>
      </c>
      <c r="P10" s="12">
        <v>5757112332.5772972</v>
      </c>
      <c r="Q10" s="12">
        <v>8928883212.1586914</v>
      </c>
      <c r="R10" s="12">
        <v>10027936251.450491</v>
      </c>
      <c r="S10" s="12">
        <v>10736237504.986557</v>
      </c>
      <c r="T10" s="12">
        <v>9461883984.9008064</v>
      </c>
      <c r="U10" s="12">
        <v>12137077353.090998</v>
      </c>
      <c r="V10" s="12">
        <v>10703871668.090029</v>
      </c>
      <c r="W10" s="12">
        <v>15065057225.880341</v>
      </c>
      <c r="X10" s="12">
        <v>18907101491.377693</v>
      </c>
      <c r="Y10" s="12">
        <v>18366877417.128712</v>
      </c>
      <c r="Z10" s="12">
        <v>13763371834.972214</v>
      </c>
      <c r="AA10" s="12">
        <v>17370349303.372169</v>
      </c>
      <c r="AB10" s="12">
        <v>18501944323.712646</v>
      </c>
      <c r="AC10" s="56">
        <v>24327181630.658501</v>
      </c>
      <c r="AD10" s="56">
        <v>20954758773.528381</v>
      </c>
      <c r="AE10" s="56">
        <v>24413572759.221554</v>
      </c>
      <c r="AF10" s="56">
        <v>19217836678.219009</v>
      </c>
      <c r="AG10" s="56">
        <v>31057403323.670135</v>
      </c>
      <c r="AH10" s="56">
        <v>40797220655.552811</v>
      </c>
      <c r="AI10" s="56">
        <v>56207669813.527473</v>
      </c>
      <c r="AJ10" s="56">
        <v>49484490226.672928</v>
      </c>
      <c r="AK10" s="56">
        <v>75980333431.347229</v>
      </c>
      <c r="AL10" s="56">
        <v>116424128810.33334</v>
      </c>
    </row>
    <row r="11" spans="1:38" s="15" customFormat="1" ht="18" customHeight="1" x14ac:dyDescent="0.45">
      <c r="A11" s="16" t="s">
        <v>14</v>
      </c>
      <c r="B11" s="17">
        <v>2353.0241088000075</v>
      </c>
      <c r="C11" s="17">
        <v>71524.579080454423</v>
      </c>
      <c r="D11" s="17">
        <v>368678.70657999744</v>
      </c>
      <c r="E11" s="17">
        <v>4309202.29786772</v>
      </c>
      <c r="F11" s="17">
        <v>80333732.073618799</v>
      </c>
      <c r="G11" s="17">
        <v>2381905466.5961661</v>
      </c>
      <c r="H11" s="17">
        <v>3797002961.2424998</v>
      </c>
      <c r="I11" s="17">
        <v>4808912201.8649998</v>
      </c>
      <c r="J11" s="17">
        <v>5536550153.3708334</v>
      </c>
      <c r="K11" s="17">
        <v>5841426413.7633333</v>
      </c>
      <c r="L11" s="17">
        <v>5026077424.6000004</v>
      </c>
      <c r="M11" s="17">
        <v>6090581647.934166</v>
      </c>
      <c r="N11" s="17">
        <v>8690527172.8166656</v>
      </c>
      <c r="O11" s="17">
        <v>9529390544.0933342</v>
      </c>
      <c r="P11" s="17">
        <v>11906435540.401667</v>
      </c>
      <c r="Q11" s="17">
        <v>11815374044.65</v>
      </c>
      <c r="R11" s="17">
        <v>13402438720.125</v>
      </c>
      <c r="S11" s="17">
        <v>18720067466.974998</v>
      </c>
      <c r="T11" s="17">
        <v>20370778788.555004</v>
      </c>
      <c r="U11" s="17">
        <v>20499573531.685001</v>
      </c>
      <c r="V11" s="17">
        <v>25531217254.960831</v>
      </c>
      <c r="W11" s="17">
        <v>30248871399.374168</v>
      </c>
      <c r="X11" s="17">
        <v>39480350898.462502</v>
      </c>
      <c r="Y11" s="17">
        <v>44852809944.617493</v>
      </c>
      <c r="Z11" s="17">
        <v>49491907759.139999</v>
      </c>
      <c r="AA11" s="17">
        <v>46821674402.733337</v>
      </c>
      <c r="AB11" s="17">
        <v>47379935282.485001</v>
      </c>
      <c r="AC11" s="57">
        <v>54847764816.973335</v>
      </c>
      <c r="AD11" s="57">
        <v>67770256158.099129</v>
      </c>
      <c r="AE11" s="57">
        <v>59719437962.306778</v>
      </c>
      <c r="AF11" s="57">
        <v>57215342576.149094</v>
      </c>
      <c r="AG11" s="57">
        <v>62672959447.102455</v>
      </c>
      <c r="AH11" s="57">
        <v>83768258560.248215</v>
      </c>
      <c r="AI11" s="57">
        <v>99826459026.045578</v>
      </c>
      <c r="AJ11" s="57">
        <v>113954876456.34621</v>
      </c>
      <c r="AK11" s="57">
        <v>115947618538.12834</v>
      </c>
      <c r="AL11" s="57">
        <v>126472474564.985</v>
      </c>
    </row>
    <row r="12" spans="1:38" s="15" customFormat="1" ht="18" customHeight="1" x14ac:dyDescent="0.45">
      <c r="A12" s="11" t="s">
        <v>77</v>
      </c>
      <c r="B12" s="12">
        <v>216.87585816325</v>
      </c>
      <c r="C12" s="12">
        <v>10589.449718181395</v>
      </c>
      <c r="D12" s="12">
        <v>26424.165449696655</v>
      </c>
      <c r="E12" s="12">
        <v>508536.90059454413</v>
      </c>
      <c r="F12" s="12">
        <v>5791032.2909090873</v>
      </c>
      <c r="G12" s="12">
        <v>206384299.75303018</v>
      </c>
      <c r="H12" s="12">
        <v>409917375.83333331</v>
      </c>
      <c r="I12" s="12">
        <v>200972531.66666666</v>
      </c>
      <c r="J12" s="12">
        <v>426615711.66666669</v>
      </c>
      <c r="K12" s="12">
        <v>366027973.33333325</v>
      </c>
      <c r="L12" s="12">
        <v>406997543.33333343</v>
      </c>
      <c r="M12" s="12">
        <v>471205289.99999994</v>
      </c>
      <c r="N12" s="12">
        <v>526055300</v>
      </c>
      <c r="O12" s="12">
        <v>635504480</v>
      </c>
      <c r="P12" s="12">
        <v>695888993.33333325</v>
      </c>
      <c r="Q12" s="12">
        <v>873959310</v>
      </c>
      <c r="R12" s="12">
        <v>677870050.00000012</v>
      </c>
      <c r="S12" s="12">
        <v>656128687.5</v>
      </c>
      <c r="T12" s="12">
        <v>739096876.66666687</v>
      </c>
      <c r="U12" s="12">
        <v>1299851921.666667</v>
      </c>
      <c r="V12" s="12">
        <v>1201923135</v>
      </c>
      <c r="W12" s="12">
        <v>2086440090</v>
      </c>
      <c r="X12" s="12">
        <v>892409290</v>
      </c>
      <c r="Y12" s="12">
        <v>1229499571.4291668</v>
      </c>
      <c r="Z12" s="12">
        <v>2890402300.2384262</v>
      </c>
      <c r="AA12" s="12">
        <v>3561767197.3333335</v>
      </c>
      <c r="AB12" s="12">
        <v>2880857369.1212301</v>
      </c>
      <c r="AC12" s="56">
        <v>3618382365.8888884</v>
      </c>
      <c r="AD12" s="56">
        <v>1847113309.2003965</v>
      </c>
      <c r="AE12" s="141" t="s">
        <v>116</v>
      </c>
      <c r="AF12" s="141" t="s">
        <v>116</v>
      </c>
      <c r="AG12" s="141" t="s">
        <v>116</v>
      </c>
      <c r="AH12" s="141" t="s">
        <v>116</v>
      </c>
      <c r="AI12" s="141" t="s">
        <v>116</v>
      </c>
      <c r="AJ12" s="141" t="s">
        <v>116</v>
      </c>
      <c r="AK12" s="141" t="s">
        <v>116</v>
      </c>
      <c r="AL12" s="141" t="s">
        <v>116</v>
      </c>
    </row>
    <row r="13" spans="1:38" s="15" customFormat="1" ht="18" customHeight="1" x14ac:dyDescent="0.45">
      <c r="A13" s="16" t="s">
        <v>15</v>
      </c>
      <c r="B13" s="17">
        <v>1363.3296596704165</v>
      </c>
      <c r="C13" s="17">
        <v>32225.753918483813</v>
      </c>
      <c r="D13" s="17">
        <v>180283.43097787772</v>
      </c>
      <c r="E13" s="17">
        <v>1892598.6659424205</v>
      </c>
      <c r="F13" s="17">
        <v>43549202.000757523</v>
      </c>
      <c r="G13" s="17">
        <v>1487215138.9818177</v>
      </c>
      <c r="H13" s="17">
        <v>1468173720</v>
      </c>
      <c r="I13" s="17">
        <v>1493698596.6666665</v>
      </c>
      <c r="J13" s="17">
        <v>1673376500.8333328</v>
      </c>
      <c r="K13" s="17">
        <v>2286102963.333333</v>
      </c>
      <c r="L13" s="17">
        <v>2132622633.3333335</v>
      </c>
      <c r="M13" s="17">
        <v>1884711550</v>
      </c>
      <c r="N13" s="17">
        <v>2335086418.3333335</v>
      </c>
      <c r="O13" s="17">
        <v>3518755153.333333</v>
      </c>
      <c r="P13" s="17">
        <v>4468758093.333333</v>
      </c>
      <c r="Q13" s="17">
        <v>3421948073.3333335</v>
      </c>
      <c r="R13" s="17">
        <v>3943241505</v>
      </c>
      <c r="S13" s="17">
        <v>4117596813.333333</v>
      </c>
      <c r="T13" s="17">
        <v>4138650709.9999995</v>
      </c>
      <c r="U13" s="17">
        <v>8252063361.666667</v>
      </c>
      <c r="V13" s="17">
        <v>5703763140.833333</v>
      </c>
      <c r="W13" s="17">
        <v>5435949020.833334</v>
      </c>
      <c r="X13" s="17">
        <v>5794317320</v>
      </c>
      <c r="Y13" s="17">
        <v>7229355679.999999</v>
      </c>
      <c r="Z13" s="17">
        <v>8036604221.6666651</v>
      </c>
      <c r="AA13" s="17">
        <v>7673639891.6666679</v>
      </c>
      <c r="AB13" s="17">
        <v>7835760501.666666</v>
      </c>
      <c r="AC13" s="57">
        <v>11156497890.000002</v>
      </c>
      <c r="AD13" s="57">
        <v>8255612097.8445158</v>
      </c>
      <c r="AE13" s="57">
        <v>5651089792.5113811</v>
      </c>
      <c r="AF13" s="57">
        <v>9394188124.3795967</v>
      </c>
      <c r="AG13" s="57">
        <v>11759422986.610933</v>
      </c>
      <c r="AH13" s="57">
        <v>12733782721.472197</v>
      </c>
      <c r="AI13" s="57">
        <v>15464378427.866756</v>
      </c>
      <c r="AJ13" s="57">
        <v>14980658387.613028</v>
      </c>
      <c r="AK13" s="57">
        <v>14269961744.231058</v>
      </c>
      <c r="AL13" s="57">
        <v>15031862967.866669</v>
      </c>
    </row>
    <row r="14" spans="1:38" s="15" customFormat="1" ht="18" customHeight="1" x14ac:dyDescent="0.45">
      <c r="A14" s="11" t="s">
        <v>78</v>
      </c>
      <c r="B14" s="12">
        <v>465.39013642133324</v>
      </c>
      <c r="C14" s="12">
        <v>13733.750886666438</v>
      </c>
      <c r="D14" s="12">
        <v>64642.659459999843</v>
      </c>
      <c r="E14" s="12">
        <v>1430556.2739999983</v>
      </c>
      <c r="F14" s="12">
        <v>31763897.805605963</v>
      </c>
      <c r="G14" s="12">
        <v>543731616.14333308</v>
      </c>
      <c r="H14" s="12">
        <v>749336993.33333337</v>
      </c>
      <c r="I14" s="12">
        <v>967575139.99999988</v>
      </c>
      <c r="J14" s="12">
        <v>1173010680</v>
      </c>
      <c r="K14" s="12">
        <v>1027551099.9999999</v>
      </c>
      <c r="L14" s="12">
        <v>1337216020.8333333</v>
      </c>
      <c r="M14" s="12">
        <v>1276848717.5</v>
      </c>
      <c r="N14" s="12">
        <v>1360148212.5</v>
      </c>
      <c r="O14" s="12">
        <v>1796428120</v>
      </c>
      <c r="P14" s="12">
        <v>2384193333.3333335</v>
      </c>
      <c r="Q14" s="12">
        <v>3837135365</v>
      </c>
      <c r="R14" s="12">
        <v>3994263928.3333335</v>
      </c>
      <c r="S14" s="12">
        <v>4145504187.500001</v>
      </c>
      <c r="T14" s="12">
        <v>4518406327.5</v>
      </c>
      <c r="U14" s="12">
        <v>4943937765</v>
      </c>
      <c r="V14" s="12">
        <v>5070589125.000001</v>
      </c>
      <c r="W14" s="12">
        <v>4399957945</v>
      </c>
      <c r="X14" s="12">
        <v>4735073397.5</v>
      </c>
      <c r="Y14" s="12">
        <v>5365841000</v>
      </c>
      <c r="Z14" s="12">
        <v>6467241482.499999</v>
      </c>
      <c r="AA14" s="12">
        <v>6954505076.666667</v>
      </c>
      <c r="AB14" s="12">
        <v>7188204562.4999981</v>
      </c>
      <c r="AC14" s="56">
        <v>5622802863.3333349</v>
      </c>
      <c r="AD14" s="141" t="s">
        <v>116</v>
      </c>
      <c r="AE14" s="141" t="s">
        <v>116</v>
      </c>
      <c r="AF14" s="141" t="s">
        <v>116</v>
      </c>
      <c r="AG14" s="141" t="s">
        <v>116</v>
      </c>
      <c r="AH14" s="141" t="s">
        <v>116</v>
      </c>
      <c r="AI14" s="141" t="s">
        <v>116</v>
      </c>
      <c r="AJ14" s="141" t="s">
        <v>116</v>
      </c>
      <c r="AK14" s="141" t="s">
        <v>116</v>
      </c>
      <c r="AL14" s="141" t="s">
        <v>116</v>
      </c>
    </row>
    <row r="15" spans="1:38" s="15" customFormat="1" ht="18" customHeight="1" x14ac:dyDescent="0.45">
      <c r="A15" s="16" t="s">
        <v>16</v>
      </c>
      <c r="B15" s="17">
        <v>1717.3046439798609</v>
      </c>
      <c r="C15" s="17">
        <v>50152.227045054133</v>
      </c>
      <c r="D15" s="17">
        <v>237183.72628517234</v>
      </c>
      <c r="E15" s="17">
        <v>2458516.7581091789</v>
      </c>
      <c r="F15" s="17">
        <v>46232654.193628974</v>
      </c>
      <c r="G15" s="17">
        <v>1384091466.9180603</v>
      </c>
      <c r="H15" s="17">
        <v>2533377129.25</v>
      </c>
      <c r="I15" s="17">
        <v>1934002176.8999999</v>
      </c>
      <c r="J15" s="17">
        <v>2580281428.625</v>
      </c>
      <c r="K15" s="17">
        <v>2926020671.8666668</v>
      </c>
      <c r="L15" s="17">
        <v>3216510279.8000002</v>
      </c>
      <c r="M15" s="17">
        <v>2324109339.4583335</v>
      </c>
      <c r="N15" s="17">
        <v>4601449691.250001</v>
      </c>
      <c r="O15" s="17">
        <v>6316805166.1458321</v>
      </c>
      <c r="P15" s="17">
        <v>6482420531.562501</v>
      </c>
      <c r="Q15" s="17">
        <v>6336355314.114583</v>
      </c>
      <c r="R15" s="17">
        <v>6412361610.833333</v>
      </c>
      <c r="S15" s="17">
        <v>7778313347.1875</v>
      </c>
      <c r="T15" s="17">
        <v>7702690430.989584</v>
      </c>
      <c r="U15" s="17">
        <v>8818141727.708334</v>
      </c>
      <c r="V15" s="17">
        <v>7864068567.7083321</v>
      </c>
      <c r="W15" s="17">
        <v>10777114762.343752</v>
      </c>
      <c r="X15" s="17">
        <v>12999978923.75</v>
      </c>
      <c r="Y15" s="17">
        <v>8176914926.3071899</v>
      </c>
      <c r="Z15" s="17">
        <v>9379218562.7799568</v>
      </c>
      <c r="AA15" s="17">
        <v>11920209635.284313</v>
      </c>
      <c r="AB15" s="17">
        <v>10776007761.234659</v>
      </c>
      <c r="AC15" s="57">
        <v>12662920328.503759</v>
      </c>
      <c r="AD15" s="57">
        <v>14210268761.668056</v>
      </c>
      <c r="AE15" s="57">
        <v>12197230167.896799</v>
      </c>
      <c r="AF15" s="57">
        <v>12940125196.989157</v>
      </c>
      <c r="AG15" s="57">
        <v>13269499011.652142</v>
      </c>
      <c r="AH15" s="57">
        <v>16523276397.118587</v>
      </c>
      <c r="AI15" s="57">
        <v>17514066558.753246</v>
      </c>
      <c r="AJ15" s="57">
        <v>20695521533.833736</v>
      </c>
      <c r="AK15" s="57">
        <v>27272737906.822578</v>
      </c>
      <c r="AL15" s="57">
        <v>33086153095.391678</v>
      </c>
    </row>
    <row r="16" spans="1:38" s="15" customFormat="1" ht="18" customHeight="1" x14ac:dyDescent="0.45">
      <c r="A16" s="11" t="s">
        <v>17</v>
      </c>
      <c r="B16" s="12">
        <v>32.524303345275001</v>
      </c>
      <c r="C16" s="12">
        <v>628.20415454539841</v>
      </c>
      <c r="D16" s="12">
        <v>2408.2383490908433</v>
      </c>
      <c r="E16" s="12">
        <v>22409.089018181778</v>
      </c>
      <c r="F16" s="12">
        <v>250557.14509090854</v>
      </c>
      <c r="G16" s="12">
        <v>7336662.1490909075</v>
      </c>
      <c r="H16" s="12">
        <v>7762390.8333333349</v>
      </c>
      <c r="I16" s="12">
        <v>10508775</v>
      </c>
      <c r="J16" s="12">
        <v>23711616.666666664</v>
      </c>
      <c r="K16" s="12">
        <v>3934407.5</v>
      </c>
      <c r="L16" s="12">
        <v>10618645</v>
      </c>
      <c r="M16" s="12">
        <v>50717397.5</v>
      </c>
      <c r="N16" s="12">
        <v>37897708.333333336</v>
      </c>
      <c r="O16" s="12">
        <v>32473327.500000004</v>
      </c>
      <c r="P16" s="12">
        <v>53905155</v>
      </c>
      <c r="Q16" s="12">
        <v>109724170.83333334</v>
      </c>
      <c r="R16" s="12">
        <v>112112661.66666667</v>
      </c>
      <c r="S16" s="12">
        <v>52329166.666666672</v>
      </c>
      <c r="T16" s="12">
        <v>59703049.999999993</v>
      </c>
      <c r="U16" s="12">
        <v>87940800</v>
      </c>
      <c r="V16" s="140" t="s">
        <v>116</v>
      </c>
      <c r="W16" s="140" t="s">
        <v>116</v>
      </c>
      <c r="X16" s="12">
        <v>136921543.30767196</v>
      </c>
      <c r="Y16" s="12">
        <v>33340028.756481476</v>
      </c>
      <c r="Z16" s="12">
        <v>17115329.231481481</v>
      </c>
      <c r="AA16" s="12">
        <v>51987981.371671081</v>
      </c>
      <c r="AB16" s="12">
        <v>61669266.614583336</v>
      </c>
      <c r="AC16" s="56">
        <v>44645748.425925925</v>
      </c>
      <c r="AD16" s="56">
        <v>27339745.041666668</v>
      </c>
      <c r="AE16" s="56">
        <v>47209183.375000007</v>
      </c>
      <c r="AF16" s="56">
        <v>64596399.166666664</v>
      </c>
      <c r="AG16" s="56">
        <v>89254509.833333358</v>
      </c>
      <c r="AH16" s="56">
        <v>87513427.222222224</v>
      </c>
      <c r="AI16" s="56">
        <v>125214829.44444445</v>
      </c>
      <c r="AJ16" s="56">
        <v>103161164.19444445</v>
      </c>
      <c r="AK16" s="56">
        <v>118708581.49305555</v>
      </c>
      <c r="AL16" s="56">
        <v>174955447.33333334</v>
      </c>
    </row>
    <row r="17" spans="1:60" s="15" customFormat="1" ht="18" customHeight="1" x14ac:dyDescent="0.45">
      <c r="A17" s="16" t="s">
        <v>18</v>
      </c>
      <c r="B17" s="17">
        <v>1006.9194772777499</v>
      </c>
      <c r="C17" s="17">
        <v>24801.942351000042</v>
      </c>
      <c r="D17" s="17">
        <v>140300.24866469693</v>
      </c>
      <c r="E17" s="17">
        <v>1591973.1575999998</v>
      </c>
      <c r="F17" s="17">
        <v>30765266.008600909</v>
      </c>
      <c r="G17" s="17">
        <v>657385947.94069695</v>
      </c>
      <c r="H17" s="17">
        <v>1673847620.5600002</v>
      </c>
      <c r="I17" s="17">
        <v>1359584037.8374996</v>
      </c>
      <c r="J17" s="17">
        <v>1530449248.9416666</v>
      </c>
      <c r="K17" s="17">
        <v>1446695294.7958331</v>
      </c>
      <c r="L17" s="17">
        <v>1698478984.6500001</v>
      </c>
      <c r="M17" s="17">
        <v>1793490900.7166669</v>
      </c>
      <c r="N17" s="17">
        <v>1560542105.9216666</v>
      </c>
      <c r="O17" s="17">
        <v>1809194201.4699996</v>
      </c>
      <c r="P17" s="17">
        <v>3121548195.4799995</v>
      </c>
      <c r="Q17" s="17">
        <v>4500963456.3891678</v>
      </c>
      <c r="R17" s="17">
        <v>4460615666.1625004</v>
      </c>
      <c r="S17" s="17">
        <v>4344290240.04</v>
      </c>
      <c r="T17" s="17">
        <v>4253138829.3333335</v>
      </c>
      <c r="U17" s="17">
        <v>5078383957.0199995</v>
      </c>
      <c r="V17" s="17">
        <v>5169718998.3891668</v>
      </c>
      <c r="W17" s="17">
        <v>5697002731.2366667</v>
      </c>
      <c r="X17" s="17">
        <v>5869390705.4433336</v>
      </c>
      <c r="Y17" s="17">
        <v>5645916465</v>
      </c>
      <c r="Z17" s="17">
        <v>6411535177.7400017</v>
      </c>
      <c r="AA17" s="17">
        <v>7203277316.8133335</v>
      </c>
      <c r="AB17" s="17">
        <v>6840507460.2400007</v>
      </c>
      <c r="AC17" s="57">
        <v>6335032583.3275003</v>
      </c>
      <c r="AD17" s="57">
        <v>11981538798.777378</v>
      </c>
      <c r="AE17" s="57">
        <v>9571926482.0574131</v>
      </c>
      <c r="AF17" s="57">
        <v>8328214328.984766</v>
      </c>
      <c r="AG17" s="57">
        <v>9371144091.7869492</v>
      </c>
      <c r="AH17" s="57">
        <v>11242296737.796091</v>
      </c>
      <c r="AI17" s="57">
        <v>14629240730.035128</v>
      </c>
      <c r="AJ17" s="57">
        <v>20276058784.365215</v>
      </c>
      <c r="AK17" s="57">
        <v>18732187390.679066</v>
      </c>
      <c r="AL17" s="57">
        <v>20500737259.862572</v>
      </c>
    </row>
    <row r="18" spans="1:60" s="15" customFormat="1" ht="18" customHeight="1" x14ac:dyDescent="0.45">
      <c r="A18" s="11" t="s">
        <v>19</v>
      </c>
      <c r="B18" s="12">
        <v>2852.3663825664498</v>
      </c>
      <c r="C18" s="12">
        <v>72582.43159998933</v>
      </c>
      <c r="D18" s="12">
        <v>408414.72636362369</v>
      </c>
      <c r="E18" s="12">
        <v>5321377.8625090746</v>
      </c>
      <c r="F18" s="12">
        <v>120037644.31821188</v>
      </c>
      <c r="G18" s="12">
        <v>2598222421.212121</v>
      </c>
      <c r="H18" s="12">
        <v>4080031987.5</v>
      </c>
      <c r="I18" s="12">
        <v>4274944035.8333335</v>
      </c>
      <c r="J18" s="12">
        <v>4118505500</v>
      </c>
      <c r="K18" s="12">
        <v>4242917930</v>
      </c>
      <c r="L18" s="12">
        <v>5480711430</v>
      </c>
      <c r="M18" s="12">
        <v>6518068333.333334</v>
      </c>
      <c r="N18" s="12">
        <v>6818902187.499999</v>
      </c>
      <c r="O18" s="12">
        <v>9374567013.3333321</v>
      </c>
      <c r="P18" s="12">
        <v>15303652283.333336</v>
      </c>
      <c r="Q18" s="12">
        <v>12640736295</v>
      </c>
      <c r="R18" s="12">
        <v>10124338293.333334</v>
      </c>
      <c r="S18" s="12">
        <v>11198690212.5</v>
      </c>
      <c r="T18" s="12">
        <v>17414165847.500004</v>
      </c>
      <c r="U18" s="12">
        <v>23327783187.5</v>
      </c>
      <c r="V18" s="12">
        <v>16061276966.666666</v>
      </c>
      <c r="W18" s="12">
        <v>16563144407.499998</v>
      </c>
      <c r="X18" s="12">
        <v>23980284579.16666</v>
      </c>
      <c r="Y18" s="12">
        <v>31449718425.000004</v>
      </c>
      <c r="Z18" s="12">
        <v>34985724130</v>
      </c>
      <c r="AA18" s="12">
        <v>34946499875</v>
      </c>
      <c r="AB18" s="12">
        <v>39230941760.000008</v>
      </c>
      <c r="AC18" s="56">
        <v>41105237804.999992</v>
      </c>
      <c r="AD18" s="56">
        <v>47649322971.041962</v>
      </c>
      <c r="AE18" s="56">
        <v>46151037062.077347</v>
      </c>
      <c r="AF18" s="56">
        <v>61747463001.072777</v>
      </c>
      <c r="AG18" s="56">
        <v>88095577275.230515</v>
      </c>
      <c r="AH18" s="56">
        <v>120626653311.38708</v>
      </c>
      <c r="AI18" s="56">
        <v>149478961227.7345</v>
      </c>
      <c r="AJ18" s="56">
        <v>142333604676.15829</v>
      </c>
      <c r="AK18" s="56">
        <v>120106723059.08273</v>
      </c>
      <c r="AL18" s="56">
        <v>146997168073.01743</v>
      </c>
    </row>
    <row r="19" spans="1:60" s="15" customFormat="1" ht="18" customHeight="1" x14ac:dyDescent="0.45">
      <c r="A19" s="16" t="s">
        <v>79</v>
      </c>
      <c r="B19" s="17">
        <v>90.660552255166664</v>
      </c>
      <c r="C19" s="17">
        <v>1656.1754999999605</v>
      </c>
      <c r="D19" s="17">
        <v>6823.3121981817831</v>
      </c>
      <c r="E19" s="17">
        <v>29019.177773939318</v>
      </c>
      <c r="F19" s="17">
        <v>940374.28545454412</v>
      </c>
      <c r="G19" s="17">
        <v>30980989.875757571</v>
      </c>
      <c r="H19" s="17">
        <v>52950170.000000007</v>
      </c>
      <c r="I19" s="17">
        <v>49204155</v>
      </c>
      <c r="J19" s="17">
        <v>72033245.000000015</v>
      </c>
      <c r="K19" s="17">
        <v>98788458.333333343</v>
      </c>
      <c r="L19" s="17">
        <v>161324928.33333331</v>
      </c>
      <c r="M19" s="17">
        <v>256546025.00000003</v>
      </c>
      <c r="N19" s="17">
        <v>148665100.00000003</v>
      </c>
      <c r="O19" s="17">
        <v>192168640</v>
      </c>
      <c r="P19" s="17">
        <v>247228962.49999994</v>
      </c>
      <c r="Q19" s="17">
        <v>197728999.99999997</v>
      </c>
      <c r="R19" s="17">
        <v>219573968.33333334</v>
      </c>
      <c r="S19" s="17">
        <v>211364940</v>
      </c>
      <c r="T19" s="17">
        <v>265001275.00000003</v>
      </c>
      <c r="U19" s="17">
        <v>284373999.99999994</v>
      </c>
      <c r="V19" s="17">
        <v>250287488.57142857</v>
      </c>
      <c r="W19" s="17">
        <v>276326100</v>
      </c>
      <c r="X19" s="17">
        <v>369407974.99999994</v>
      </c>
      <c r="Y19" s="17">
        <v>439373816.66666675</v>
      </c>
      <c r="Z19" s="17">
        <v>469733720</v>
      </c>
      <c r="AA19" s="17">
        <v>678329584.16666675</v>
      </c>
      <c r="AB19" s="17">
        <v>1260002741.3888888</v>
      </c>
      <c r="AC19" s="57">
        <v>1334117325</v>
      </c>
      <c r="AD19" s="57">
        <v>1347923038.8888888</v>
      </c>
      <c r="AE19" s="142" t="s">
        <v>116</v>
      </c>
      <c r="AF19" s="142" t="s">
        <v>116</v>
      </c>
      <c r="AG19" s="142" t="s">
        <v>116</v>
      </c>
      <c r="AH19" s="142" t="s">
        <v>116</v>
      </c>
      <c r="AI19" s="142" t="s">
        <v>116</v>
      </c>
      <c r="AJ19" s="142" t="s">
        <v>116</v>
      </c>
      <c r="AK19" s="142" t="s">
        <v>116</v>
      </c>
      <c r="AL19" s="142" t="s">
        <v>116</v>
      </c>
    </row>
    <row r="20" spans="1:60" s="15" customFormat="1" ht="18" customHeight="1" x14ac:dyDescent="0.45">
      <c r="A20" s="11" t="s">
        <v>20</v>
      </c>
      <c r="B20" s="12">
        <v>4190.8228309800661</v>
      </c>
      <c r="C20" s="12">
        <v>76009.611279993362</v>
      </c>
      <c r="D20" s="12">
        <v>359186.33518181124</v>
      </c>
      <c r="E20" s="12">
        <v>5352226.9645605981</v>
      </c>
      <c r="F20" s="12">
        <v>136055876.44272679</v>
      </c>
      <c r="G20" s="12">
        <v>3030645502.014544</v>
      </c>
      <c r="H20" s="12">
        <v>4152026314.9999995</v>
      </c>
      <c r="I20" s="12">
        <v>5366992476.6666651</v>
      </c>
      <c r="J20" s="12">
        <v>7082023993.333334</v>
      </c>
      <c r="K20" s="12">
        <v>7044174000</v>
      </c>
      <c r="L20" s="12">
        <v>8160035346.6666679</v>
      </c>
      <c r="M20" s="12">
        <v>9381286098.333334</v>
      </c>
      <c r="N20" s="12">
        <v>13425487562.5</v>
      </c>
      <c r="O20" s="12">
        <v>21123988363.333336</v>
      </c>
      <c r="P20" s="12">
        <v>32016987999.999996</v>
      </c>
      <c r="Q20" s="12">
        <v>32744252677.499996</v>
      </c>
      <c r="R20" s="12">
        <v>24780654161.666664</v>
      </c>
      <c r="S20" s="12">
        <v>22035148800.000004</v>
      </c>
      <c r="T20" s="12">
        <v>29362514789.999996</v>
      </c>
      <c r="U20" s="12">
        <v>42631087312.5</v>
      </c>
      <c r="V20" s="12">
        <v>42101067951.666656</v>
      </c>
      <c r="W20" s="12">
        <v>43545683900</v>
      </c>
      <c r="X20" s="12">
        <v>52744890135</v>
      </c>
      <c r="Y20" s="12">
        <v>65300116524.999992</v>
      </c>
      <c r="Z20" s="12">
        <v>81996891923.333344</v>
      </c>
      <c r="AA20" s="12">
        <v>87483524333.333328</v>
      </c>
      <c r="AB20" s="12">
        <v>102825507480</v>
      </c>
      <c r="AC20" s="56">
        <v>114031358828.33334</v>
      </c>
      <c r="AD20" s="56">
        <v>117564168223.70663</v>
      </c>
      <c r="AE20" s="56">
        <v>139435902508.3494</v>
      </c>
      <c r="AF20" s="56">
        <v>133664023349.15105</v>
      </c>
      <c r="AG20" s="56">
        <v>215847331971.2728</v>
      </c>
      <c r="AH20" s="56">
        <v>350531791377.44531</v>
      </c>
      <c r="AI20" s="56">
        <v>340041241956.79907</v>
      </c>
      <c r="AJ20" s="56">
        <v>335502885098.81482</v>
      </c>
      <c r="AK20" s="56">
        <v>287229399506.56409</v>
      </c>
      <c r="AL20" s="56">
        <v>341569815185.14288</v>
      </c>
    </row>
    <row r="21" spans="1:60" s="15" customFormat="1" ht="18" customHeight="1" x14ac:dyDescent="0.45">
      <c r="A21" s="16" t="s">
        <v>21</v>
      </c>
      <c r="B21" s="17">
        <v>576.24783106375003</v>
      </c>
      <c r="C21" s="17">
        <v>20187.522692726157</v>
      </c>
      <c r="D21" s="17">
        <v>83995.0837824232</v>
      </c>
      <c r="E21" s="17">
        <v>712176.95570151415</v>
      </c>
      <c r="F21" s="17">
        <v>17110587.095151484</v>
      </c>
      <c r="G21" s="17">
        <v>712817305.22727263</v>
      </c>
      <c r="H21" s="17">
        <v>1040756133.3333333</v>
      </c>
      <c r="I21" s="17">
        <v>913776314.99999988</v>
      </c>
      <c r="J21" s="17">
        <v>867483829.16666663</v>
      </c>
      <c r="K21" s="17">
        <v>1136845325.0000002</v>
      </c>
      <c r="L21" s="17">
        <v>1275199615.8333335</v>
      </c>
      <c r="M21" s="17">
        <v>1317102685</v>
      </c>
      <c r="N21" s="17">
        <v>1337032225.833333</v>
      </c>
      <c r="O21" s="17">
        <v>1838637909.9999998</v>
      </c>
      <c r="P21" s="17">
        <v>2682555446.6666665</v>
      </c>
      <c r="Q21" s="17">
        <v>3216743805</v>
      </c>
      <c r="R21" s="17">
        <v>3228529755</v>
      </c>
      <c r="S21" s="17">
        <v>2847047900</v>
      </c>
      <c r="T21" s="17">
        <v>3342591840</v>
      </c>
      <c r="U21" s="17">
        <v>4122275620.8333325</v>
      </c>
      <c r="V21" s="17">
        <v>4978600935</v>
      </c>
      <c r="W21" s="17">
        <v>5229383906.666667</v>
      </c>
      <c r="X21" s="17">
        <v>6231159863.3333321</v>
      </c>
      <c r="Y21" s="17">
        <v>6188691037.5</v>
      </c>
      <c r="Z21" s="17">
        <v>12500123310</v>
      </c>
      <c r="AA21" s="17">
        <v>13833428054.999998</v>
      </c>
      <c r="AB21" s="17">
        <v>13711322700.833332</v>
      </c>
      <c r="AC21" s="57">
        <v>8613382594.1666679</v>
      </c>
      <c r="AD21" s="57">
        <v>8215368644.5347319</v>
      </c>
      <c r="AE21" s="57">
        <v>9184786252.9714222</v>
      </c>
      <c r="AF21" s="57">
        <v>10053006182.868132</v>
      </c>
      <c r="AG21" s="57">
        <v>9871270697.1446228</v>
      </c>
      <c r="AH21" s="57">
        <v>11082141923.274132</v>
      </c>
      <c r="AI21" s="57">
        <v>15055298052.156775</v>
      </c>
      <c r="AJ21" s="57">
        <v>17874340707.435989</v>
      </c>
      <c r="AK21" s="57">
        <v>19746399199.713196</v>
      </c>
      <c r="AL21" s="57">
        <v>16565426168.523411</v>
      </c>
    </row>
    <row r="22" spans="1:60" s="15" customFormat="1" ht="18" customHeight="1" x14ac:dyDescent="0.45">
      <c r="A22" s="11" t="s">
        <v>22</v>
      </c>
      <c r="B22" s="12">
        <v>759.25805036960014</v>
      </c>
      <c r="C22" s="12">
        <v>9563.5642396953062</v>
      </c>
      <c r="D22" s="12">
        <v>44422.330404241293</v>
      </c>
      <c r="E22" s="12">
        <v>582034.18493999902</v>
      </c>
      <c r="F22" s="12">
        <v>8418462.6929090656</v>
      </c>
      <c r="G22" s="12">
        <v>179347026.81999996</v>
      </c>
      <c r="H22" s="12">
        <v>217298391.66666672</v>
      </c>
      <c r="I22" s="12">
        <v>622883649.16666675</v>
      </c>
      <c r="J22" s="12">
        <v>373360500</v>
      </c>
      <c r="K22" s="12">
        <v>348043206.66666657</v>
      </c>
      <c r="L22" s="12">
        <v>484165013.33333331</v>
      </c>
      <c r="M22" s="12">
        <v>373921600.00000006</v>
      </c>
      <c r="N22" s="12">
        <v>844455249.16666651</v>
      </c>
      <c r="O22" s="12">
        <v>1156857605</v>
      </c>
      <c r="P22" s="12">
        <v>2799842500</v>
      </c>
      <c r="Q22" s="12">
        <v>2385726860</v>
      </c>
      <c r="R22" s="12">
        <v>1611164874.9999998</v>
      </c>
      <c r="S22" s="12">
        <v>844848320.00000012</v>
      </c>
      <c r="T22" s="12">
        <v>1817041841.6666663</v>
      </c>
      <c r="U22" s="12">
        <v>3068814200.8333325</v>
      </c>
      <c r="V22" s="12">
        <v>2161236937.5</v>
      </c>
      <c r="W22" s="12">
        <v>2555926041.6666675</v>
      </c>
      <c r="X22" s="12">
        <v>2389818060</v>
      </c>
      <c r="Y22" s="12">
        <v>3035735808.7874999</v>
      </c>
      <c r="Z22" s="12">
        <v>4295947734.3254929</v>
      </c>
      <c r="AA22" s="12">
        <v>3869218690.7101841</v>
      </c>
      <c r="AB22" s="12">
        <v>3407161389.3887672</v>
      </c>
      <c r="AC22" s="56">
        <v>4914879704.0939531</v>
      </c>
      <c r="AD22" s="56">
        <v>2521762701.6236076</v>
      </c>
      <c r="AE22" s="56">
        <v>4298643280.3254786</v>
      </c>
      <c r="AF22" s="56">
        <v>4358302328.6542864</v>
      </c>
      <c r="AG22" s="56">
        <v>7156266204.7295094</v>
      </c>
      <c r="AH22" s="56">
        <v>11964887812.116203</v>
      </c>
      <c r="AI22" s="56">
        <v>18570259052.415653</v>
      </c>
      <c r="AJ22" s="56">
        <v>10435788683.76499</v>
      </c>
      <c r="AK22" s="56">
        <v>10130531832.605</v>
      </c>
      <c r="AL22" s="56">
        <v>9754685351.5249996</v>
      </c>
    </row>
    <row r="23" spans="1:60" s="15" customFormat="1" ht="18" customHeight="1" x14ac:dyDescent="0.45">
      <c r="A23" s="16" t="s">
        <v>23</v>
      </c>
      <c r="B23" s="17">
        <v>161.66987004653333</v>
      </c>
      <c r="C23" s="17">
        <v>5279.5613109085971</v>
      </c>
      <c r="D23" s="17">
        <v>11847.289880605813</v>
      </c>
      <c r="E23" s="17">
        <v>28636.008479999869</v>
      </c>
      <c r="F23" s="17">
        <v>892941.22045454418</v>
      </c>
      <c r="G23" s="17">
        <v>82238570.909090906</v>
      </c>
      <c r="H23" s="17">
        <v>235626841.66666669</v>
      </c>
      <c r="I23" s="17">
        <v>112438078.33333333</v>
      </c>
      <c r="J23" s="17">
        <v>203378326.66666663</v>
      </c>
      <c r="K23" s="17">
        <v>677558000</v>
      </c>
      <c r="L23" s="17">
        <v>624105000</v>
      </c>
      <c r="M23" s="17">
        <v>280025080.00000006</v>
      </c>
      <c r="N23" s="17">
        <v>639381715.99999988</v>
      </c>
      <c r="O23" s="17">
        <v>685359973.33333325</v>
      </c>
      <c r="P23" s="17">
        <v>1097665623.3333333</v>
      </c>
      <c r="Q23" s="17">
        <v>2214720130</v>
      </c>
      <c r="R23" s="17">
        <v>955237099.99999976</v>
      </c>
      <c r="S23" s="17">
        <v>849565753.33333325</v>
      </c>
      <c r="T23" s="17">
        <v>1984182900.0000005</v>
      </c>
      <c r="U23" s="17">
        <v>1089763766.6666665</v>
      </c>
      <c r="V23" s="17">
        <v>3540718162.9999995</v>
      </c>
      <c r="W23" s="17">
        <v>2997827911.6666665</v>
      </c>
      <c r="X23" s="17">
        <v>4420594933.333333</v>
      </c>
      <c r="Y23" s="17">
        <v>3932085266.666667</v>
      </c>
      <c r="Z23" s="17">
        <v>3646130794.7023811</v>
      </c>
      <c r="AA23" s="17">
        <v>3982047639.52877</v>
      </c>
      <c r="AB23" s="17">
        <v>3551184426.7777781</v>
      </c>
      <c r="AC23" s="57">
        <v>3409495636.2638884</v>
      </c>
      <c r="AD23" s="57">
        <v>5676414242.2222223</v>
      </c>
      <c r="AE23" s="57">
        <v>5113339859.3253975</v>
      </c>
      <c r="AF23" s="57">
        <v>5290465656.7063494</v>
      </c>
      <c r="AG23" s="57">
        <v>5216238797.7288361</v>
      </c>
      <c r="AH23" s="57">
        <v>6504821173.795352</v>
      </c>
      <c r="AI23" s="57">
        <v>6550124638.9399099</v>
      </c>
      <c r="AJ23" s="57">
        <v>7648267672.7576208</v>
      </c>
      <c r="AK23" s="57">
        <v>10776290008.545919</v>
      </c>
      <c r="AL23" s="57">
        <v>11254776739.591837</v>
      </c>
    </row>
    <row r="24" spans="1:60" s="15" customFormat="1" ht="18" customHeight="1" x14ac:dyDescent="0.45">
      <c r="A24" s="11" t="s">
        <v>80</v>
      </c>
      <c r="B24" s="140" t="s">
        <v>116</v>
      </c>
      <c r="C24" s="140" t="s">
        <v>116</v>
      </c>
      <c r="D24" s="140" t="s">
        <v>116</v>
      </c>
      <c r="E24" s="140" t="s">
        <v>116</v>
      </c>
      <c r="F24" s="140" t="s">
        <v>116</v>
      </c>
      <c r="G24" s="140" t="s">
        <v>116</v>
      </c>
      <c r="H24" s="140" t="s">
        <v>116</v>
      </c>
      <c r="I24" s="140" t="s">
        <v>116</v>
      </c>
      <c r="J24" s="140" t="s">
        <v>116</v>
      </c>
      <c r="K24" s="140" t="s">
        <v>116</v>
      </c>
      <c r="L24" s="140" t="s">
        <v>116</v>
      </c>
      <c r="M24" s="140" t="s">
        <v>116</v>
      </c>
      <c r="N24" s="140" t="s">
        <v>116</v>
      </c>
      <c r="O24" s="140" t="s">
        <v>116</v>
      </c>
      <c r="P24" s="140" t="s">
        <v>116</v>
      </c>
      <c r="Q24" s="140" t="s">
        <v>116</v>
      </c>
      <c r="R24" s="140" t="s">
        <v>116</v>
      </c>
      <c r="S24" s="140" t="s">
        <v>116</v>
      </c>
      <c r="T24" s="140" t="s">
        <v>116</v>
      </c>
      <c r="U24" s="140" t="s">
        <v>116</v>
      </c>
      <c r="V24" s="140" t="s">
        <v>116</v>
      </c>
      <c r="W24" s="140" t="s">
        <v>116</v>
      </c>
      <c r="X24" s="12">
        <v>2436234762.7025466</v>
      </c>
      <c r="Y24" s="12">
        <v>2758284559.4675927</v>
      </c>
      <c r="Z24" s="12">
        <v>3182991664.7222223</v>
      </c>
      <c r="AA24" s="12">
        <v>3742482424.7569442</v>
      </c>
      <c r="AB24" s="12">
        <v>3477880634.4898725</v>
      </c>
      <c r="AC24" s="56">
        <v>4277024568.885994</v>
      </c>
      <c r="AD24" s="56">
        <v>3389483478.8541665</v>
      </c>
      <c r="AE24" s="141" t="s">
        <v>116</v>
      </c>
      <c r="AF24" s="141" t="s">
        <v>116</v>
      </c>
      <c r="AG24" s="141" t="s">
        <v>116</v>
      </c>
      <c r="AH24" s="141" t="s">
        <v>116</v>
      </c>
      <c r="AI24" s="141" t="s">
        <v>116</v>
      </c>
      <c r="AJ24" s="141" t="s">
        <v>116</v>
      </c>
      <c r="AK24" s="141" t="s">
        <v>116</v>
      </c>
      <c r="AL24" s="141" t="s">
        <v>116</v>
      </c>
    </row>
    <row r="25" spans="1:60" s="10" customFormat="1" ht="18" customHeight="1" thickBot="1" x14ac:dyDescent="0.5">
      <c r="A25" s="38" t="s">
        <v>24</v>
      </c>
      <c r="B25" s="58">
        <v>20003.977528092888</v>
      </c>
      <c r="C25" s="58">
        <v>501496.50269906386</v>
      </c>
      <c r="D25" s="58">
        <v>2567282.3341132537</v>
      </c>
      <c r="E25" s="58">
        <v>30237211.392060481</v>
      </c>
      <c r="F25" s="58">
        <v>643421398.82351613</v>
      </c>
      <c r="G25" s="58">
        <v>16989638087.887781</v>
      </c>
      <c r="H25" s="58">
        <v>26506670622.808056</v>
      </c>
      <c r="I25" s="58">
        <v>27098747901.11916</v>
      </c>
      <c r="J25" s="58">
        <v>35360524315.035332</v>
      </c>
      <c r="K25" s="58">
        <v>38242981935.683151</v>
      </c>
      <c r="L25" s="58">
        <v>42556294262.837082</v>
      </c>
      <c r="M25" s="58">
        <v>44706094265.480171</v>
      </c>
      <c r="N25" s="58">
        <v>54805521727.726196</v>
      </c>
      <c r="O25" s="58">
        <v>74308056104.724716</v>
      </c>
      <c r="P25" s="58">
        <v>103566211602.64645</v>
      </c>
      <c r="Q25" s="58">
        <v>112473809108.14578</v>
      </c>
      <c r="R25" s="58">
        <v>100764207161.07132</v>
      </c>
      <c r="S25" s="58">
        <v>103128647135.80016</v>
      </c>
      <c r="T25" s="58">
        <v>122383416007.9454</v>
      </c>
      <c r="U25" s="58">
        <v>156309996372.00433</v>
      </c>
      <c r="V25" s="58">
        <v>151133513786.5531</v>
      </c>
      <c r="W25" s="58">
        <v>165484539209.41824</v>
      </c>
      <c r="X25" s="58">
        <v>208567857521.61877</v>
      </c>
      <c r="Y25" s="58">
        <v>233056209408.33224</v>
      </c>
      <c r="Z25" s="58">
        <v>268988639107.37967</v>
      </c>
      <c r="AA25" s="58">
        <v>287055688698.35046</v>
      </c>
      <c r="AB25" s="58">
        <v>307978959401.55859</v>
      </c>
      <c r="AC25" s="59">
        <v>343654585170.26624</v>
      </c>
      <c r="AD25" s="59">
        <v>348404585999.94434</v>
      </c>
      <c r="AE25" s="59">
        <v>356106468991.68298</v>
      </c>
      <c r="AF25" s="59">
        <v>372208566423.16528</v>
      </c>
      <c r="AG25" s="59">
        <v>512924874673.34137</v>
      </c>
      <c r="AH25" s="59">
        <v>738809281272.87219</v>
      </c>
      <c r="AI25" s="59">
        <v>819367014500.15723</v>
      </c>
      <c r="AJ25" s="59">
        <v>820938077269.10498</v>
      </c>
      <c r="AK25" s="59">
        <v>808680127210.43286</v>
      </c>
      <c r="AL25" s="59">
        <v>941554109402.4364</v>
      </c>
    </row>
    <row r="26" spans="1:60" s="15" customFormat="1" ht="18" customHeight="1" thickTop="1" x14ac:dyDescent="0.45">
      <c r="A26" s="11" t="s">
        <v>25</v>
      </c>
      <c r="B26" s="140" t="s">
        <v>116</v>
      </c>
      <c r="C26" s="140" t="s">
        <v>116</v>
      </c>
      <c r="D26" s="140" t="s">
        <v>116</v>
      </c>
      <c r="E26" s="140" t="s">
        <v>116</v>
      </c>
      <c r="F26" s="140" t="s">
        <v>116</v>
      </c>
      <c r="G26" s="140" t="s">
        <v>116</v>
      </c>
      <c r="H26" s="140" t="s">
        <v>116</v>
      </c>
      <c r="I26" s="140" t="s">
        <v>116</v>
      </c>
      <c r="J26" s="140" t="s">
        <v>116</v>
      </c>
      <c r="K26" s="140" t="s">
        <v>116</v>
      </c>
      <c r="L26" s="140" t="s">
        <v>116</v>
      </c>
      <c r="M26" s="12">
        <v>9528077066.9223347</v>
      </c>
      <c r="N26" s="12">
        <v>11623668190.979557</v>
      </c>
      <c r="O26" s="12">
        <v>14000669169.183111</v>
      </c>
      <c r="P26" s="12">
        <v>17351671144.046219</v>
      </c>
      <c r="Q26" s="12">
        <v>21358176099.713997</v>
      </c>
      <c r="R26" s="12">
        <v>21972723842.379448</v>
      </c>
      <c r="S26" s="12">
        <v>23206637350.546661</v>
      </c>
      <c r="T26" s="12">
        <v>26501870249.194</v>
      </c>
      <c r="U26" s="12">
        <v>32547734017.182217</v>
      </c>
      <c r="V26" s="12">
        <v>32785225313.364002</v>
      </c>
      <c r="W26" s="12">
        <v>36493406158.701332</v>
      </c>
      <c r="X26" s="12">
        <v>41866859441.221001</v>
      </c>
      <c r="Y26" s="12">
        <v>45031085620.975052</v>
      </c>
      <c r="Z26" s="12">
        <v>51765663445.425827</v>
      </c>
      <c r="AA26" s="12">
        <v>62657528240.711433</v>
      </c>
      <c r="AB26" s="12">
        <v>69286801122.607681</v>
      </c>
      <c r="AC26" s="56">
        <v>71464769584.992508</v>
      </c>
      <c r="AD26" s="56">
        <v>70805693671.43248</v>
      </c>
      <c r="AE26" s="56">
        <v>75424574100.887955</v>
      </c>
      <c r="AF26" s="56">
        <v>85646670013.813812</v>
      </c>
      <c r="AG26" s="56">
        <v>111058727376.14902</v>
      </c>
      <c r="AH26" s="56">
        <v>144163517069.3277</v>
      </c>
      <c r="AI26" s="56">
        <v>155137778061.66055</v>
      </c>
      <c r="AJ26" s="56">
        <v>142735738379.12747</v>
      </c>
      <c r="AK26" s="56">
        <v>161465525488.64679</v>
      </c>
      <c r="AL26" s="56">
        <v>206156930666.29041</v>
      </c>
    </row>
    <row r="27" spans="1:60" s="15" customFormat="1" ht="18" customHeight="1" x14ac:dyDescent="0.45">
      <c r="A27" s="16" t="s">
        <v>26</v>
      </c>
      <c r="B27" s="143" t="s">
        <v>116</v>
      </c>
      <c r="C27" s="143" t="s">
        <v>116</v>
      </c>
      <c r="D27" s="143" t="s">
        <v>116</v>
      </c>
      <c r="E27" s="143" t="s">
        <v>116</v>
      </c>
      <c r="F27" s="143" t="s">
        <v>116</v>
      </c>
      <c r="G27" s="143" t="s">
        <v>116</v>
      </c>
      <c r="H27" s="143" t="s">
        <v>116</v>
      </c>
      <c r="I27" s="143" t="s">
        <v>116</v>
      </c>
      <c r="J27" s="143" t="s">
        <v>116</v>
      </c>
      <c r="K27" s="143" t="s">
        <v>116</v>
      </c>
      <c r="L27" s="143" t="s">
        <v>116</v>
      </c>
      <c r="M27" s="17">
        <v>1725204033.1594996</v>
      </c>
      <c r="N27" s="17">
        <v>2284215775.0169444</v>
      </c>
      <c r="O27" s="17">
        <v>2657295186.1386671</v>
      </c>
      <c r="P27" s="17">
        <v>3487387766.6083336</v>
      </c>
      <c r="Q27" s="17">
        <v>4289558230.16539</v>
      </c>
      <c r="R27" s="17">
        <v>5270049800.4855566</v>
      </c>
      <c r="S27" s="17">
        <v>4715737071.9379997</v>
      </c>
      <c r="T27" s="17">
        <v>5298829008.4466658</v>
      </c>
      <c r="U27" s="17">
        <v>6979076771.2855549</v>
      </c>
      <c r="V27" s="17">
        <v>7181158444.8793316</v>
      </c>
      <c r="W27" s="17">
        <v>8340620933.5543871</v>
      </c>
      <c r="X27" s="17">
        <v>9065576926.9771671</v>
      </c>
      <c r="Y27" s="17">
        <v>9020990194.3607216</v>
      </c>
      <c r="Z27" s="17">
        <v>11080205984.706665</v>
      </c>
      <c r="AA27" s="17">
        <v>12261693232.152777</v>
      </c>
      <c r="AB27" s="17">
        <v>14008258657.918833</v>
      </c>
      <c r="AC27" s="57">
        <v>14244958363.264997</v>
      </c>
      <c r="AD27" s="57">
        <v>21439690781.512444</v>
      </c>
      <c r="AE27" s="57">
        <v>18050485498.68634</v>
      </c>
      <c r="AF27" s="57">
        <v>23696670450.911461</v>
      </c>
      <c r="AG27" s="57">
        <v>36014600708.029518</v>
      </c>
      <c r="AH27" s="57">
        <v>42590962426.971062</v>
      </c>
      <c r="AI27" s="57">
        <v>40983197713.475105</v>
      </c>
      <c r="AJ27" s="57">
        <v>45188061658.707756</v>
      </c>
      <c r="AK27" s="57">
        <v>53611752799.966614</v>
      </c>
      <c r="AL27" s="57">
        <v>58793766415.693855</v>
      </c>
    </row>
    <row r="28" spans="1:60" s="15" customFormat="1" ht="18" customHeight="1" x14ac:dyDescent="0.45">
      <c r="A28" s="11" t="s">
        <v>27</v>
      </c>
      <c r="B28" s="140" t="s">
        <v>116</v>
      </c>
      <c r="C28" s="140" t="s">
        <v>116</v>
      </c>
      <c r="D28" s="140" t="s">
        <v>116</v>
      </c>
      <c r="E28" s="140" t="s">
        <v>116</v>
      </c>
      <c r="F28" s="140" t="s">
        <v>116</v>
      </c>
      <c r="G28" s="140" t="s">
        <v>116</v>
      </c>
      <c r="H28" s="140" t="s">
        <v>116</v>
      </c>
      <c r="I28" s="140" t="s">
        <v>116</v>
      </c>
      <c r="J28" s="140" t="s">
        <v>116</v>
      </c>
      <c r="K28" s="140" t="s">
        <v>116</v>
      </c>
      <c r="L28" s="140" t="s">
        <v>116</v>
      </c>
      <c r="M28" s="12">
        <v>4759346722.4483328</v>
      </c>
      <c r="N28" s="12">
        <v>5481555809.9825001</v>
      </c>
      <c r="O28" s="12">
        <v>7065369072.8816652</v>
      </c>
      <c r="P28" s="12">
        <v>9876976107.913332</v>
      </c>
      <c r="Q28" s="12">
        <v>11481154842.577499</v>
      </c>
      <c r="R28" s="12">
        <v>14399421395.731644</v>
      </c>
      <c r="S28" s="12">
        <v>13400802792.057365</v>
      </c>
      <c r="T28" s="12">
        <v>18959367057.852406</v>
      </c>
      <c r="U28" s="12">
        <v>23760591350.419182</v>
      </c>
      <c r="V28" s="12">
        <v>23119475801.997326</v>
      </c>
      <c r="W28" s="12">
        <v>23970242135.474751</v>
      </c>
      <c r="X28" s="12">
        <v>27980282301.193974</v>
      </c>
      <c r="Y28" s="12">
        <v>29861935149.724442</v>
      </c>
      <c r="Z28" s="12">
        <v>35144574437.983437</v>
      </c>
      <c r="AA28" s="12">
        <v>35891839193.006233</v>
      </c>
      <c r="AB28" s="12">
        <v>40841853703.708511</v>
      </c>
      <c r="AC28" s="56">
        <v>45931797457.867332</v>
      </c>
      <c r="AD28" s="56">
        <v>42179963954.24366</v>
      </c>
      <c r="AE28" s="56">
        <v>44372258720.334412</v>
      </c>
      <c r="AF28" s="56">
        <v>54836559049.065247</v>
      </c>
      <c r="AG28" s="56">
        <v>61144668023.244591</v>
      </c>
      <c r="AH28" s="56">
        <v>90839904344.869324</v>
      </c>
      <c r="AI28" s="56">
        <v>97642792453.920578</v>
      </c>
      <c r="AJ28" s="56">
        <v>90925578430.754822</v>
      </c>
      <c r="AK28" s="56">
        <v>101164174097.76164</v>
      </c>
      <c r="AL28" s="56">
        <v>113005758883.42001</v>
      </c>
    </row>
    <row r="29" spans="1:60" s="15" customFormat="1" ht="18" customHeight="1" x14ac:dyDescent="0.45">
      <c r="A29" s="16" t="s">
        <v>28</v>
      </c>
      <c r="B29" s="143" t="s">
        <v>116</v>
      </c>
      <c r="C29" s="143" t="s">
        <v>116</v>
      </c>
      <c r="D29" s="143" t="s">
        <v>116</v>
      </c>
      <c r="E29" s="143" t="s">
        <v>116</v>
      </c>
      <c r="F29" s="143" t="s">
        <v>116</v>
      </c>
      <c r="G29" s="143" t="s">
        <v>116</v>
      </c>
      <c r="H29" s="143" t="s">
        <v>116</v>
      </c>
      <c r="I29" s="143" t="s">
        <v>116</v>
      </c>
      <c r="J29" s="143" t="s">
        <v>116</v>
      </c>
      <c r="K29" s="143" t="s">
        <v>116</v>
      </c>
      <c r="L29" s="143" t="s">
        <v>116</v>
      </c>
      <c r="M29" s="17">
        <v>3763489494.166666</v>
      </c>
      <c r="N29" s="17">
        <v>3996764612.5</v>
      </c>
      <c r="O29" s="17">
        <v>4593577827.5</v>
      </c>
      <c r="P29" s="17">
        <v>6211734735</v>
      </c>
      <c r="Q29" s="17">
        <v>6945590791.666667</v>
      </c>
      <c r="R29" s="17">
        <v>8277836233.3333349</v>
      </c>
      <c r="S29" s="17">
        <v>8043150997.5</v>
      </c>
      <c r="T29" s="17">
        <v>10390320723.333336</v>
      </c>
      <c r="U29" s="17">
        <v>13001356077.500002</v>
      </c>
      <c r="V29" s="17">
        <v>13492472525.000002</v>
      </c>
      <c r="W29" s="17">
        <v>15731627249.999998</v>
      </c>
      <c r="X29" s="17">
        <v>17599462500.000004</v>
      </c>
      <c r="Y29" s="17">
        <v>19490195542.5</v>
      </c>
      <c r="Z29" s="17">
        <v>23925749808.333336</v>
      </c>
      <c r="AA29" s="17">
        <v>27221741799.999996</v>
      </c>
      <c r="AB29" s="17">
        <v>26268019566.666664</v>
      </c>
      <c r="AC29" s="57">
        <v>26857490595.000004</v>
      </c>
      <c r="AD29" s="57">
        <v>30212954054.297245</v>
      </c>
      <c r="AE29" s="57">
        <v>31494406570.246922</v>
      </c>
      <c r="AF29" s="57">
        <v>33089272743.856842</v>
      </c>
      <c r="AG29" s="57">
        <v>38458690886.084526</v>
      </c>
      <c r="AH29" s="57">
        <v>49010373377.666664</v>
      </c>
      <c r="AI29" s="57">
        <v>59011509581.322403</v>
      </c>
      <c r="AJ29" s="57">
        <v>63950404217.473885</v>
      </c>
      <c r="AK29" s="57">
        <v>64727495386.666664</v>
      </c>
      <c r="AL29" s="57">
        <v>69342986180</v>
      </c>
    </row>
    <row r="30" spans="1:60" s="15" customFormat="1" ht="18" customHeight="1" x14ac:dyDescent="0.45">
      <c r="A30" s="11" t="s">
        <v>29</v>
      </c>
      <c r="B30" s="140" t="s">
        <v>116</v>
      </c>
      <c r="C30" s="140" t="s">
        <v>116</v>
      </c>
      <c r="D30" s="140" t="s">
        <v>116</v>
      </c>
      <c r="E30" s="140" t="s">
        <v>116</v>
      </c>
      <c r="F30" s="140" t="s">
        <v>116</v>
      </c>
      <c r="G30" s="140" t="s">
        <v>116</v>
      </c>
      <c r="H30" s="140" t="s">
        <v>116</v>
      </c>
      <c r="I30" s="140" t="s">
        <v>116</v>
      </c>
      <c r="J30" s="140" t="s">
        <v>116</v>
      </c>
      <c r="K30" s="140" t="s">
        <v>116</v>
      </c>
      <c r="L30" s="140" t="s">
        <v>116</v>
      </c>
      <c r="M30" s="12">
        <v>1471501004.9999998</v>
      </c>
      <c r="N30" s="12">
        <v>1600283066.6666665</v>
      </c>
      <c r="O30" s="12">
        <v>1871390483.3333333</v>
      </c>
      <c r="P30" s="12">
        <v>2779727110.8333335</v>
      </c>
      <c r="Q30" s="12">
        <v>3082163023.3333335</v>
      </c>
      <c r="R30" s="12">
        <v>3288231799.9999995</v>
      </c>
      <c r="S30" s="12">
        <v>3177370079.166666</v>
      </c>
      <c r="T30" s="12">
        <v>3548475996.6666675</v>
      </c>
      <c r="U30" s="12">
        <v>4260736035</v>
      </c>
      <c r="V30" s="12">
        <v>4326396895.000001</v>
      </c>
      <c r="W30" s="12">
        <v>4442610870</v>
      </c>
      <c r="X30" s="12">
        <v>5681006933.3333349</v>
      </c>
      <c r="Y30" s="12">
        <v>7057652041.666666</v>
      </c>
      <c r="Z30" s="12">
        <v>8805561600</v>
      </c>
      <c r="AA30" s="12">
        <v>10423788750.000002</v>
      </c>
      <c r="AB30" s="12">
        <v>11345657151.666666</v>
      </c>
      <c r="AC30" s="56">
        <v>13478163779.166666</v>
      </c>
      <c r="AD30" s="56">
        <v>11214053174.982409</v>
      </c>
      <c r="AE30" s="56">
        <v>10794020785.836996</v>
      </c>
      <c r="AF30" s="56">
        <v>11591209740.214287</v>
      </c>
      <c r="AG30" s="56">
        <v>14390145831.489315</v>
      </c>
      <c r="AH30" s="56">
        <v>17165928383.333332</v>
      </c>
      <c r="AI30" s="56">
        <v>21004528389.907738</v>
      </c>
      <c r="AJ30" s="56">
        <v>24942800872.611107</v>
      </c>
      <c r="AK30" s="56">
        <v>24985507934.422123</v>
      </c>
      <c r="AL30" s="56">
        <v>24726222813.214283</v>
      </c>
    </row>
    <row r="31" spans="1:60" s="10" customFormat="1" ht="18" customHeight="1" thickBot="1" x14ac:dyDescent="0.5">
      <c r="A31" s="38" t="s">
        <v>30</v>
      </c>
      <c r="B31" s="144" t="s">
        <v>116</v>
      </c>
      <c r="C31" s="144" t="s">
        <v>116</v>
      </c>
      <c r="D31" s="144" t="s">
        <v>116</v>
      </c>
      <c r="E31" s="144" t="s">
        <v>116</v>
      </c>
      <c r="F31" s="144" t="s">
        <v>116</v>
      </c>
      <c r="G31" s="144" t="s">
        <v>116</v>
      </c>
      <c r="H31" s="144" t="s">
        <v>116</v>
      </c>
      <c r="I31" s="144" t="s">
        <v>116</v>
      </c>
      <c r="J31" s="144" t="s">
        <v>116</v>
      </c>
      <c r="K31" s="144" t="s">
        <v>116</v>
      </c>
      <c r="L31" s="144" t="s">
        <v>116</v>
      </c>
      <c r="M31" s="58">
        <v>21247618321.696831</v>
      </c>
      <c r="N31" s="58">
        <v>24986487455.145672</v>
      </c>
      <c r="O31" s="58">
        <v>30188301739.036774</v>
      </c>
      <c r="P31" s="58">
        <v>39707496864.401222</v>
      </c>
      <c r="Q31" s="58">
        <v>47156642987.456886</v>
      </c>
      <c r="R31" s="58">
        <v>53208263071.929985</v>
      </c>
      <c r="S31" s="58">
        <v>52543698291.208687</v>
      </c>
      <c r="T31" s="58">
        <v>64698863035.493073</v>
      </c>
      <c r="U31" s="58">
        <v>80549494251.386963</v>
      </c>
      <c r="V31" s="58">
        <v>80904728980.240662</v>
      </c>
      <c r="W31" s="58">
        <v>88978507347.730469</v>
      </c>
      <c r="X31" s="58">
        <v>102193188102.72546</v>
      </c>
      <c r="Y31" s="58">
        <v>110461858549.22688</v>
      </c>
      <c r="Z31" s="58">
        <v>130721755276.44928</v>
      </c>
      <c r="AA31" s="58">
        <v>148456591215.87045</v>
      </c>
      <c r="AB31" s="58">
        <v>161750590202.56836</v>
      </c>
      <c r="AC31" s="59">
        <v>171977179780.2915</v>
      </c>
      <c r="AD31" s="59">
        <v>175852355636.46823</v>
      </c>
      <c r="AE31" s="59">
        <v>180135745675.99261</v>
      </c>
      <c r="AF31" s="59">
        <v>208860381997.86166</v>
      </c>
      <c r="AG31" s="59">
        <v>261066832824.99698</v>
      </c>
      <c r="AH31" s="59">
        <v>343770685602.16809</v>
      </c>
      <c r="AI31" s="59">
        <v>373779806200.28632</v>
      </c>
      <c r="AJ31" s="59">
        <v>367742583558.67505</v>
      </c>
      <c r="AK31" s="59">
        <v>405954455707.46387</v>
      </c>
      <c r="AL31" s="59">
        <v>472025664958.61859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s="10" customFormat="1" ht="18" customHeight="1" thickTop="1" thickBot="1" x14ac:dyDescent="0.5">
      <c r="A32" s="41" t="s">
        <v>31</v>
      </c>
      <c r="B32" s="60">
        <v>20003.977528092888</v>
      </c>
      <c r="C32" s="60">
        <v>501496.50269906386</v>
      </c>
      <c r="D32" s="60">
        <v>2567282.3341132537</v>
      </c>
      <c r="E32" s="60">
        <v>30237211.392060481</v>
      </c>
      <c r="F32" s="60">
        <v>643421398.82351613</v>
      </c>
      <c r="G32" s="60">
        <v>16989638087.887781</v>
      </c>
      <c r="H32" s="60">
        <v>26506670622.808056</v>
      </c>
      <c r="I32" s="60">
        <v>27098747901.11916</v>
      </c>
      <c r="J32" s="60">
        <v>35360524315.035332</v>
      </c>
      <c r="K32" s="60">
        <v>38242981935.683151</v>
      </c>
      <c r="L32" s="60">
        <v>42556294262.837082</v>
      </c>
      <c r="M32" s="60">
        <v>65953712587.177002</v>
      </c>
      <c r="N32" s="60">
        <v>79792009182.871872</v>
      </c>
      <c r="O32" s="60">
        <v>104496357843.76149</v>
      </c>
      <c r="P32" s="60">
        <v>143273708467.04767</v>
      </c>
      <c r="Q32" s="60">
        <v>159630452095.60266</v>
      </c>
      <c r="R32" s="60">
        <v>153972470233.00131</v>
      </c>
      <c r="S32" s="60">
        <v>155672345427.00885</v>
      </c>
      <c r="T32" s="60">
        <v>187082279043.43848</v>
      </c>
      <c r="U32" s="60">
        <v>236859490623.3913</v>
      </c>
      <c r="V32" s="60">
        <v>232038242766.79376</v>
      </c>
      <c r="W32" s="60">
        <v>254463046557.14871</v>
      </c>
      <c r="X32" s="60">
        <v>310761045624.34424</v>
      </c>
      <c r="Y32" s="60">
        <v>343518067957.55914</v>
      </c>
      <c r="Z32" s="60">
        <v>399710394383.82898</v>
      </c>
      <c r="AA32" s="60">
        <v>435512279914.22095</v>
      </c>
      <c r="AB32" s="60">
        <v>469729549604.12695</v>
      </c>
      <c r="AC32" s="61">
        <v>515631764950.55774</v>
      </c>
      <c r="AD32" s="61">
        <v>524256941636.4126</v>
      </c>
      <c r="AE32" s="61">
        <v>536242214667.6756</v>
      </c>
      <c r="AF32" s="61">
        <v>581068948421.02698</v>
      </c>
      <c r="AG32" s="61">
        <v>773991707498.33838</v>
      </c>
      <c r="AH32" s="61">
        <v>1082579966875.0403</v>
      </c>
      <c r="AI32" s="61">
        <v>1193146820700.4436</v>
      </c>
      <c r="AJ32" s="61">
        <v>1188680660827.78</v>
      </c>
      <c r="AK32" s="61">
        <v>1214634582917.8967</v>
      </c>
      <c r="AL32" s="61">
        <v>1413579774361.0549</v>
      </c>
      <c r="AM32" s="15"/>
    </row>
    <row r="33" spans="1:41" ht="18" customHeight="1" thickTop="1" x14ac:dyDescent="0.45">
      <c r="A33" s="134" t="s">
        <v>130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4"/>
      <c r="AD33" s="134"/>
      <c r="AE33" s="134"/>
      <c r="AF33" s="134"/>
      <c r="AG33" s="134"/>
      <c r="AH33" s="134"/>
      <c r="AI33" s="134"/>
      <c r="AJ33" s="134"/>
      <c r="AK33" s="134"/>
      <c r="AL33" s="134"/>
      <c r="AM33" s="121"/>
      <c r="AN33" s="121"/>
      <c r="AO33" s="121"/>
    </row>
    <row r="34" spans="1:41" x14ac:dyDescent="0.45">
      <c r="A34" s="130" t="s">
        <v>133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21"/>
      <c r="AN34" s="121"/>
      <c r="AO34" s="121"/>
    </row>
    <row r="35" spans="1:41" x14ac:dyDescent="0.45">
      <c r="A35" s="130" t="s">
        <v>121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21"/>
      <c r="AN35" s="121"/>
      <c r="AO35" s="121"/>
    </row>
    <row r="36" spans="1:41" x14ac:dyDescent="0.45">
      <c r="A36" s="130" t="s">
        <v>32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21"/>
      <c r="AN36" s="121"/>
      <c r="AO36" s="121"/>
    </row>
    <row r="37" spans="1:41" x14ac:dyDescent="0.45">
      <c r="A37" s="130" t="s">
        <v>33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21"/>
      <c r="AN37" s="121"/>
      <c r="AO37" s="121"/>
    </row>
    <row r="38" spans="1:41" x14ac:dyDescent="0.45">
      <c r="A38" s="136" t="s">
        <v>34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21"/>
      <c r="AN38" s="121"/>
      <c r="AO38" s="121"/>
    </row>
    <row r="39" spans="1:41" x14ac:dyDescent="0.45">
      <c r="A39" s="130" t="s">
        <v>95</v>
      </c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21"/>
      <c r="AN39" s="121"/>
      <c r="AO39" s="121"/>
    </row>
    <row r="40" spans="1:41" x14ac:dyDescent="0.45">
      <c r="A40" s="130" t="s">
        <v>134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21"/>
      <c r="AN40" s="121"/>
      <c r="AO40" s="121"/>
    </row>
    <row r="41" spans="1:41" x14ac:dyDescent="0.45">
      <c r="A41" s="130" t="s">
        <v>35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21"/>
      <c r="AN41" s="121"/>
      <c r="AO41" s="121"/>
    </row>
    <row r="42" spans="1:41" x14ac:dyDescent="0.45">
      <c r="A42" s="130" t="s">
        <v>36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21"/>
      <c r="AN42" s="121"/>
      <c r="AO42" s="121"/>
    </row>
    <row r="43" spans="1:41" x14ac:dyDescent="0.45">
      <c r="A43" s="130" t="s">
        <v>122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21"/>
      <c r="AN43" s="121"/>
      <c r="AO43" s="121"/>
    </row>
    <row r="44" spans="1:41" x14ac:dyDescent="0.45">
      <c r="A44" s="130" t="s">
        <v>37</v>
      </c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21"/>
      <c r="AN44" s="121"/>
      <c r="AO44" s="121"/>
    </row>
    <row r="48" spans="1:41" x14ac:dyDescent="0.45">
      <c r="A48" s="30"/>
    </row>
  </sheetData>
  <mergeCells count="12">
    <mergeCell ref="A44:AL44"/>
    <mergeCell ref="A39:AL39"/>
    <mergeCell ref="A40:AL40"/>
    <mergeCell ref="A41:AL41"/>
    <mergeCell ref="A42:AL42"/>
    <mergeCell ref="A43:AL43"/>
    <mergeCell ref="A38:AL38"/>
    <mergeCell ref="A33:AL33"/>
    <mergeCell ref="A34:AL34"/>
    <mergeCell ref="A35:AL35"/>
    <mergeCell ref="A36:AL36"/>
    <mergeCell ref="A37:AL37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zoomScaleNormal="100" workbookViewId="0">
      <selection sqref="A1:D1"/>
    </sheetView>
  </sheetViews>
  <sheetFormatPr defaultColWidth="8.88671875" defaultRowHeight="18.600000000000001" customHeight="1" x14ac:dyDescent="0.45"/>
  <cols>
    <col min="1" max="1" width="11.109375" style="44" customWidth="1"/>
    <col min="2" max="2" width="21.109375" style="3" customWidth="1"/>
    <col min="3" max="3" width="20.5546875" style="3" bestFit="1" customWidth="1"/>
    <col min="4" max="4" width="9" style="3" bestFit="1" customWidth="1"/>
    <col min="5" max="5" width="8.88671875" style="3"/>
    <col min="6" max="6" width="11.109375" style="3" bestFit="1" customWidth="1"/>
    <col min="7" max="7" width="19.33203125" style="3" customWidth="1"/>
    <col min="8" max="8" width="18.33203125" style="3" bestFit="1" customWidth="1"/>
    <col min="9" max="16384" width="8.88671875" style="3"/>
  </cols>
  <sheetData>
    <row r="1" spans="1:8" ht="17.399999999999999" customHeight="1" x14ac:dyDescent="0.45">
      <c r="A1" s="138" t="s">
        <v>96</v>
      </c>
      <c r="B1" s="138"/>
      <c r="C1" s="138"/>
      <c r="D1" s="138"/>
    </row>
    <row r="2" spans="1:8" ht="18.600000000000001" customHeight="1" x14ac:dyDescent="0.45">
      <c r="B2" s="139" t="s">
        <v>2</v>
      </c>
      <c r="C2" s="139"/>
    </row>
    <row r="3" spans="1:8" ht="18.600000000000001" customHeight="1" thickBot="1" x14ac:dyDescent="0.5">
      <c r="A3" s="45" t="s">
        <v>97</v>
      </c>
      <c r="B3" s="45" t="s">
        <v>3</v>
      </c>
      <c r="C3" s="46" t="s">
        <v>127</v>
      </c>
      <c r="D3" s="46" t="s">
        <v>98</v>
      </c>
      <c r="F3" s="45" t="s">
        <v>97</v>
      </c>
      <c r="G3" s="45" t="s">
        <v>3</v>
      </c>
      <c r="H3" s="46" t="s">
        <v>127</v>
      </c>
    </row>
    <row r="4" spans="1:8" ht="18.600000000000001" customHeight="1" thickTop="1" x14ac:dyDescent="0.45">
      <c r="A4" s="47" t="s">
        <v>99</v>
      </c>
      <c r="B4" s="12" t="s">
        <v>20</v>
      </c>
      <c r="C4" s="12">
        <v>341569815185.14288</v>
      </c>
      <c r="D4" s="48">
        <v>0.24163462252389267</v>
      </c>
      <c r="F4" s="47" t="s">
        <v>99</v>
      </c>
      <c r="G4" s="11" t="s">
        <v>20</v>
      </c>
      <c r="H4" s="12">
        <v>341569815185.14288</v>
      </c>
    </row>
    <row r="5" spans="1:8" ht="18.600000000000001" customHeight="1" x14ac:dyDescent="0.45">
      <c r="A5" s="49" t="s">
        <v>100</v>
      </c>
      <c r="B5" s="17" t="s">
        <v>19</v>
      </c>
      <c r="C5" s="17">
        <v>146997168073.01743</v>
      </c>
      <c r="D5" s="50">
        <v>0.10398929776670077</v>
      </c>
      <c r="F5" s="49" t="s">
        <v>100</v>
      </c>
      <c r="G5" s="16" t="s">
        <v>19</v>
      </c>
      <c r="H5" s="17">
        <v>146997168073.01743</v>
      </c>
    </row>
    <row r="6" spans="1:8" ht="18.600000000000001" customHeight="1" x14ac:dyDescent="0.45">
      <c r="A6" s="47" t="s">
        <v>101</v>
      </c>
      <c r="B6" s="12" t="s">
        <v>14</v>
      </c>
      <c r="C6" s="12">
        <v>126472474564.985</v>
      </c>
      <c r="D6" s="48">
        <v>8.9469640736866932E-2</v>
      </c>
      <c r="F6" s="47" t="s">
        <v>101</v>
      </c>
      <c r="G6" s="11" t="s">
        <v>14</v>
      </c>
      <c r="H6" s="12">
        <v>126472474564.985</v>
      </c>
    </row>
    <row r="7" spans="1:8" ht="18.600000000000001" customHeight="1" x14ac:dyDescent="0.45">
      <c r="A7" s="49" t="s">
        <v>102</v>
      </c>
      <c r="B7" s="17" t="s">
        <v>13</v>
      </c>
      <c r="C7" s="17">
        <v>116424128810.33334</v>
      </c>
      <c r="D7" s="50">
        <v>8.2361201625820959E-2</v>
      </c>
      <c r="F7" s="49" t="s">
        <v>102</v>
      </c>
      <c r="G7" s="16" t="s">
        <v>13</v>
      </c>
      <c r="H7" s="17">
        <v>116424128810.33334</v>
      </c>
    </row>
    <row r="8" spans="1:8" ht="18.600000000000001" customHeight="1" x14ac:dyDescent="0.45">
      <c r="A8" s="47" t="s">
        <v>103</v>
      </c>
      <c r="B8" s="12" t="s">
        <v>7</v>
      </c>
      <c r="C8" s="12">
        <v>34275340952.380955</v>
      </c>
      <c r="D8" s="48">
        <v>2.4247192534905627E-2</v>
      </c>
      <c r="F8" s="47" t="s">
        <v>103</v>
      </c>
      <c r="G8" s="11" t="s">
        <v>7</v>
      </c>
      <c r="H8" s="12">
        <v>34275340952.380955</v>
      </c>
    </row>
    <row r="9" spans="1:8" ht="18.600000000000001" customHeight="1" thickBot="1" x14ac:dyDescent="0.5">
      <c r="A9" s="49" t="s">
        <v>104</v>
      </c>
      <c r="B9" s="17" t="s">
        <v>16</v>
      </c>
      <c r="C9" s="17">
        <v>33086153095.391678</v>
      </c>
      <c r="D9" s="50">
        <v>2.3405932721658234E-2</v>
      </c>
      <c r="F9" s="45" t="s">
        <v>97</v>
      </c>
      <c r="G9" s="45" t="s">
        <v>81</v>
      </c>
      <c r="H9" s="46" t="s">
        <v>127</v>
      </c>
    </row>
    <row r="10" spans="1:8" ht="18.600000000000001" customHeight="1" thickTop="1" x14ac:dyDescent="0.45">
      <c r="A10" s="47" t="s">
        <v>105</v>
      </c>
      <c r="B10" s="12" t="s">
        <v>9</v>
      </c>
      <c r="C10" s="12">
        <v>23373660350.305882</v>
      </c>
      <c r="D10" s="48">
        <v>1.653508402868235E-2</v>
      </c>
      <c r="F10" s="47" t="s">
        <v>99</v>
      </c>
      <c r="G10" s="11" t="s">
        <v>25</v>
      </c>
      <c r="H10" s="12">
        <v>206156930666.29041</v>
      </c>
    </row>
    <row r="11" spans="1:8" ht="18.600000000000001" customHeight="1" x14ac:dyDescent="0.45">
      <c r="A11" s="49" t="s">
        <v>106</v>
      </c>
      <c r="B11" s="17" t="s">
        <v>18</v>
      </c>
      <c r="C11" s="17">
        <v>20500737259.862572</v>
      </c>
      <c r="D11" s="50">
        <v>1.4502709809305956E-2</v>
      </c>
      <c r="F11" s="49" t="s">
        <v>100</v>
      </c>
      <c r="G11" s="16" t="s">
        <v>27</v>
      </c>
      <c r="H11" s="17">
        <v>113005758883.42001</v>
      </c>
    </row>
    <row r="12" spans="1:8" ht="18.600000000000001" customHeight="1" x14ac:dyDescent="0.45">
      <c r="A12" s="47" t="s">
        <v>107</v>
      </c>
      <c r="B12" s="12" t="s">
        <v>10</v>
      </c>
      <c r="C12" s="12">
        <v>20375524558.376404</v>
      </c>
      <c r="D12" s="48">
        <v>1.4414131362049405E-2</v>
      </c>
      <c r="F12" s="47" t="s">
        <v>101</v>
      </c>
      <c r="G12" s="11" t="s">
        <v>28</v>
      </c>
      <c r="H12" s="12">
        <v>69342986180</v>
      </c>
    </row>
    <row r="13" spans="1:8" ht="18.600000000000001" customHeight="1" x14ac:dyDescent="0.45">
      <c r="A13" s="49" t="s">
        <v>108</v>
      </c>
      <c r="B13" s="17" t="s">
        <v>21</v>
      </c>
      <c r="C13" s="17">
        <v>16565426168.523411</v>
      </c>
      <c r="D13" s="50">
        <v>1.1718777014909587E-2</v>
      </c>
      <c r="F13" s="49" t="s">
        <v>102</v>
      </c>
      <c r="G13" s="16" t="s">
        <v>26</v>
      </c>
      <c r="H13" s="17">
        <v>58793766415.693855</v>
      </c>
    </row>
    <row r="14" spans="1:8" ht="18.600000000000001" customHeight="1" x14ac:dyDescent="0.45">
      <c r="A14" s="47" t="s">
        <v>109</v>
      </c>
      <c r="B14" s="12" t="s">
        <v>15</v>
      </c>
      <c r="C14" s="12">
        <v>15031862967.866669</v>
      </c>
      <c r="D14" s="48">
        <v>1.0633897881469862E-2</v>
      </c>
      <c r="F14" s="47" t="s">
        <v>103</v>
      </c>
      <c r="G14" s="11" t="s">
        <v>29</v>
      </c>
      <c r="H14" s="12">
        <v>24726222813.214283</v>
      </c>
    </row>
    <row r="15" spans="1:8" ht="18.600000000000001" customHeight="1" x14ac:dyDescent="0.45">
      <c r="A15" s="49" t="s">
        <v>110</v>
      </c>
      <c r="B15" s="17" t="s">
        <v>12</v>
      </c>
      <c r="C15" s="17">
        <v>13981548927.133335</v>
      </c>
      <c r="D15" s="50">
        <v>9.890880713437673E-3</v>
      </c>
    </row>
    <row r="16" spans="1:8" ht="18.600000000000001" customHeight="1" x14ac:dyDescent="0.45">
      <c r="A16" s="47" t="s">
        <v>111</v>
      </c>
      <c r="B16" s="12" t="s">
        <v>23</v>
      </c>
      <c r="C16" s="12">
        <v>11254776739.591837</v>
      </c>
      <c r="D16" s="48">
        <v>7.961897123690137E-3</v>
      </c>
    </row>
    <row r="17" spans="1:4" ht="18.600000000000001" customHeight="1" x14ac:dyDescent="0.45">
      <c r="A17" s="49" t="s">
        <v>112</v>
      </c>
      <c r="B17" s="17" t="s">
        <v>22</v>
      </c>
      <c r="C17" s="17">
        <v>9754685351.5249996</v>
      </c>
      <c r="D17" s="50">
        <v>6.9006967476838484E-3</v>
      </c>
    </row>
    <row r="18" spans="1:4" ht="18.600000000000001" customHeight="1" x14ac:dyDescent="0.45">
      <c r="A18" s="47" t="s">
        <v>113</v>
      </c>
      <c r="B18" s="12" t="s">
        <v>11</v>
      </c>
      <c r="C18" s="12">
        <v>6247585355.999999</v>
      </c>
      <c r="D18" s="48">
        <v>4.4196906812874704E-3</v>
      </c>
    </row>
    <row r="19" spans="1:4" ht="18.600000000000001" customHeight="1" x14ac:dyDescent="0.45">
      <c r="A19" s="49" t="s">
        <v>114</v>
      </c>
      <c r="B19" s="17" t="s">
        <v>8</v>
      </c>
      <c r="C19" s="17">
        <v>5468265594.666667</v>
      </c>
      <c r="D19" s="50">
        <v>3.868381320847881E-3</v>
      </c>
    </row>
    <row r="20" spans="1:4" ht="18.600000000000001" customHeight="1" x14ac:dyDescent="0.45">
      <c r="A20" s="47" t="s">
        <v>115</v>
      </c>
      <c r="B20" s="12" t="s">
        <v>17</v>
      </c>
      <c r="C20" s="12">
        <v>174955447.33333334</v>
      </c>
      <c r="D20" s="128">
        <v>1.2376765040544957E-4</v>
      </c>
    </row>
    <row r="21" spans="1:4" ht="18.600000000000001" customHeight="1" thickBot="1" x14ac:dyDescent="0.5">
      <c r="A21" s="51"/>
      <c r="B21" s="20" t="s">
        <v>3</v>
      </c>
      <c r="C21" s="21">
        <v>941554109402.4364</v>
      </c>
      <c r="D21" s="52">
        <v>0.66607780224361479</v>
      </c>
    </row>
    <row r="22" spans="1:4" ht="18.600000000000001" customHeight="1" thickTop="1" x14ac:dyDescent="0.45">
      <c r="A22" s="47" t="s">
        <v>99</v>
      </c>
      <c r="B22" s="12" t="s">
        <v>25</v>
      </c>
      <c r="C22" s="12">
        <v>206156930666.29041</v>
      </c>
      <c r="D22" s="48">
        <v>0.14584032284946519</v>
      </c>
    </row>
    <row r="23" spans="1:4" ht="18.600000000000001" customHeight="1" x14ac:dyDescent="0.45">
      <c r="A23" s="49" t="s">
        <v>100</v>
      </c>
      <c r="B23" s="17" t="s">
        <v>27</v>
      </c>
      <c r="C23" s="17">
        <v>113005758883.42001</v>
      </c>
      <c r="D23" s="50">
        <v>7.9942965323268847E-2</v>
      </c>
    </row>
    <row r="24" spans="1:4" ht="18.600000000000001" customHeight="1" x14ac:dyDescent="0.45">
      <c r="A24" s="47" t="s">
        <v>101</v>
      </c>
      <c r="B24" s="12" t="s">
        <v>28</v>
      </c>
      <c r="C24" s="12">
        <v>69342986180</v>
      </c>
      <c r="D24" s="48">
        <v>4.90548799846428E-2</v>
      </c>
    </row>
    <row r="25" spans="1:4" ht="18.600000000000001" customHeight="1" x14ac:dyDescent="0.45">
      <c r="A25" s="49" t="s">
        <v>102</v>
      </c>
      <c r="B25" s="17" t="s">
        <v>26</v>
      </c>
      <c r="C25" s="17">
        <v>58793766415.693855</v>
      </c>
      <c r="D25" s="50">
        <v>4.1592110669713654E-2</v>
      </c>
    </row>
    <row r="26" spans="1:4" ht="18.600000000000001" customHeight="1" x14ac:dyDescent="0.45">
      <c r="A26" s="47" t="s">
        <v>103</v>
      </c>
      <c r="B26" s="12" t="s">
        <v>29</v>
      </c>
      <c r="C26" s="12">
        <v>24726222813.214283</v>
      </c>
      <c r="D26" s="48">
        <v>1.7491918929294709E-2</v>
      </c>
    </row>
    <row r="27" spans="1:4" ht="18.600000000000001" customHeight="1" thickBot="1" x14ac:dyDescent="0.5">
      <c r="A27" s="51"/>
      <c r="B27" s="20" t="s">
        <v>81</v>
      </c>
      <c r="C27" s="21">
        <v>472025664958.61859</v>
      </c>
      <c r="D27" s="52">
        <v>0.33392219775638521</v>
      </c>
    </row>
    <row r="28" spans="1:4" ht="18.600000000000001" customHeight="1" thickTop="1" thickBot="1" x14ac:dyDescent="0.5">
      <c r="A28" s="53"/>
      <c r="B28" s="24" t="s">
        <v>31</v>
      </c>
      <c r="C28" s="25">
        <v>1413579774361.0549</v>
      </c>
      <c r="D28" s="54">
        <v>1</v>
      </c>
    </row>
    <row r="29" spans="1:4" ht="19.8" thickTop="1" x14ac:dyDescent="0.45">
      <c r="A29" s="134" t="s">
        <v>37</v>
      </c>
      <c r="B29" s="134"/>
      <c r="C29" s="134"/>
      <c r="D29" s="134"/>
    </row>
    <row r="30" spans="1:4" ht="19.2" x14ac:dyDescent="0.45">
      <c r="A30" s="130" t="s">
        <v>134</v>
      </c>
      <c r="B30" s="130"/>
      <c r="C30" s="130"/>
      <c r="D30" s="130"/>
    </row>
    <row r="33" ht="19.2" x14ac:dyDescent="0.45"/>
  </sheetData>
  <sortState xmlns:xlrd2="http://schemas.microsoft.com/office/spreadsheetml/2017/richdata2" ref="B23:D26">
    <sortCondition descending="1" ref="D22:D26"/>
  </sortState>
  <mergeCells count="4">
    <mergeCell ref="A1:D1"/>
    <mergeCell ref="B2:C2"/>
    <mergeCell ref="A29:D29"/>
    <mergeCell ref="A30:D30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VBP</vt:lpstr>
      <vt:lpstr>VBP completo</vt:lpstr>
      <vt:lpstr>Laspeyres</vt:lpstr>
      <vt:lpstr>Variação</vt:lpstr>
      <vt:lpstr>VBP Completo Nominal</vt:lpstr>
      <vt:lpstr>Ranking 2025</vt:lpstr>
    </vt:vector>
  </TitlesOfParts>
  <Manager/>
  <Company>MAPA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Eliana Bastos</dc:creator>
  <cp:keywords/>
  <dc:description/>
  <cp:lastModifiedBy>Eliana Teles Bastos</cp:lastModifiedBy>
  <cp:revision/>
  <cp:lastPrinted>2024-11-26T19:39:26Z</cp:lastPrinted>
  <dcterms:created xsi:type="dcterms:W3CDTF">2001-05-31T12:19:52Z</dcterms:created>
  <dcterms:modified xsi:type="dcterms:W3CDTF">2025-02-24T02:29:38Z</dcterms:modified>
  <cp:category/>
  <cp:contentStatus/>
</cp:coreProperties>
</file>