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agromapa-my.sharepoint.com/personal/eliana_bastos_agricultura_gov_br/Documents/MAPA 2022/MAPA/VBP/2026/VBP SITE/ENVIADOS/"/>
    </mc:Choice>
  </mc:AlternateContent>
  <xr:revisionPtr revIDLastSave="1" documentId="8_{2E24F3AB-703C-4C55-81DF-B0D7E1140EE7}" xr6:coauthVersionLast="47" xr6:coauthVersionMax="47" xr10:uidLastSave="{A62DC2FD-4D4A-462E-8703-6931BA37729E}"/>
  <bookViews>
    <workbookView minimized="1" xWindow="2304" yWindow="768" windowWidth="13668" windowHeight="12192" tabRatio="833" firstSheet="1" activeTab="1" xr2:uid="{00000000-000D-0000-FFFF-FFFF00000000}"/>
  </bookViews>
  <sheets>
    <sheet name="Capa" sheetId="30" r:id="rId1"/>
    <sheet name="VBP" sheetId="25" r:id="rId2"/>
    <sheet name="VBP completo" sheetId="26" r:id="rId3"/>
    <sheet name="Laspeyres" sheetId="23" r:id="rId4"/>
    <sheet name="Variação" sheetId="16" r:id="rId5"/>
    <sheet name="VBP Completo Nominal" sheetId="28" r:id="rId6"/>
    <sheet name="Ranking 2026" sheetId="29" r:id="rId7"/>
  </sheet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<sst xmlns="http://schemas.openxmlformats.org/spreadsheetml/2006/main" count="649" uniqueCount="136">
  <si>
    <t xml:space="preserve"> </t>
  </si>
  <si>
    <t>VALOR BRUTO DA PRODUÇÃO - LAVOURAS E PECUÁRIA - BRASIL</t>
  </si>
  <si>
    <t>Valores em R$*</t>
  </si>
  <si>
    <t>LAVOURAS</t>
  </si>
  <si>
    <t>Gráficos</t>
  </si>
  <si>
    <t>Algodão</t>
  </si>
  <si>
    <t>Amendoim</t>
  </si>
  <si>
    <t>Arroz</t>
  </si>
  <si>
    <t>Banana</t>
  </si>
  <si>
    <t>Batata - inglesa</t>
  </si>
  <si>
    <t>Cacau</t>
  </si>
  <si>
    <t>Café</t>
  </si>
  <si>
    <t>Cana-de-açúcar</t>
  </si>
  <si>
    <t>Feijão</t>
  </si>
  <si>
    <t>Laranja</t>
  </si>
  <si>
    <t>Mamona</t>
  </si>
  <si>
    <t>Mandioca</t>
  </si>
  <si>
    <t>Milho</t>
  </si>
  <si>
    <t>Soja</t>
  </si>
  <si>
    <t>Tomate</t>
  </si>
  <si>
    <t>Trigo</t>
  </si>
  <si>
    <t>Uva</t>
  </si>
  <si>
    <t>TOTAL LAVOURAS</t>
  </si>
  <si>
    <t>Bovinos</t>
  </si>
  <si>
    <t>Suínos</t>
  </si>
  <si>
    <t>Frango</t>
  </si>
  <si>
    <t>Leite</t>
  </si>
  <si>
    <t>Ovos</t>
  </si>
  <si>
    <t>TOTAL PECUÁRIA</t>
  </si>
  <si>
    <t>VBP TOTAL</t>
  </si>
  <si>
    <t xml:space="preserve">OBS: Devido a descontinuidade da informação pela FGV-FGVDados, comunicado da FGV em 24/04/2017, foram usados preços da FGV até dez/2016. A partir desta data os produtos, que antes eram informados pela FGV, passaram a ser substituídos pelos preços da Conab.  Informamos que em janeiro/2021 reformulamos o cálculo do algodão, passando a utilizar apenas o algodão em pluma, que agora tem como fonte, para produção e preço, a CONAB. O cálculo é retroativo a 2017. </t>
  </si>
  <si>
    <t>Nota: a partir de dezembro de 2015 preços de laranja retroativo a 2012 e frango retroativo a 2005, foram alterados para Conab e Cepea respectivamente. Para cacau, a partir de abril/2017, retroativo a jan/2016 foi alterado para Conab.</t>
  </si>
  <si>
    <t>Devido a descontinuidade da informação de produção pelo LSPA/IBGE, fonte desta informação, as séries de cebola, maçã e pimenta do reino finalizam-se em 2017.</t>
  </si>
  <si>
    <t>OBS: 1) informamos que em março/2023, a série histórica de frangos, foi revisada devido à identificação de registros de peso vivo de frangos em vez de peso de carcaça, conforme nota IBGE.</t>
  </si>
  <si>
    <t xml:space="preserve">         2) informamos que a série de suíno, a partir de janeiro/2024, passou por alteração em sua metodologia, adotando-se os preços de suíno vivo convertido para carcaça, para formação do valor bruto.</t>
  </si>
  <si>
    <t>Valores em bilhões R$*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</si>
  <si>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</si>
  <si>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</si>
  <si>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</si>
  <si>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</si>
  <si>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</si>
  <si>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</si>
  <si>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</si>
  <si>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</si>
  <si>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</si>
  <si>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</si>
  <si>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</si>
  <si>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</si>
  <si>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</si>
  <si>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</si>
  <si>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</si>
  <si>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</si>
  <si>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</si>
  <si>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</si>
  <si>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</si>
  <si>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</si>
  <si>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</si>
  <si>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</si>
  <si>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</si>
  <si>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</si>
  <si>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</si>
  <si>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</si>
  <si>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</si>
  <si>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</si>
  <si>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</si>
  <si>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</si>
  <si>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</si>
  <si>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</si>
  <si>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</si>
  <si>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2023</t>
  </si>
  <si>
    <t>% 2024/2023</t>
  </si>
  <si>
    <t xml:space="preserve">   Café arábica</t>
  </si>
  <si>
    <t xml:space="preserve">   Café conilon</t>
  </si>
  <si>
    <t>Cebola</t>
  </si>
  <si>
    <t>Fumo</t>
  </si>
  <si>
    <t>Pimenta-do-reino</t>
  </si>
  <si>
    <t>Maçã</t>
  </si>
  <si>
    <t>PECUÁRIA</t>
  </si>
  <si>
    <t>Evolução do Produto de Lavouras</t>
  </si>
  <si>
    <t>(Índice de Laspeyres)</t>
  </si>
  <si>
    <t>Ano</t>
  </si>
  <si>
    <t>Indice de Prod. base 1990</t>
  </si>
  <si>
    <t>variação anual</t>
  </si>
  <si>
    <t>Nota: Os preços utilizados são do Censo Agropecuário 1995/96</t>
  </si>
  <si>
    <t>VALOR BRUTO DA PRODUÇÃO - PRINCIPAIS PRODUTOS AGROPECUÁRIOS - BRASIL</t>
  </si>
  <si>
    <t>Últimos 6 meses - Valores em R$*</t>
  </si>
  <si>
    <t>Variação Percentual (%)</t>
  </si>
  <si>
    <t>Algodão Pluma</t>
  </si>
  <si>
    <t>**Informamos que em janeiro/2021 reformulamos o cálculo do algodão, passando a utilizar apenas o algodão em pluma, que agora tem como fonte, para produção e preço, a CONAB.</t>
  </si>
  <si>
    <t>VALOR BRUTO NOMINAL DA PRODUÇÃO - LAVOURAS E PECUÁRIA - BRASIL</t>
  </si>
  <si>
    <t>* Valores nominais</t>
  </si>
  <si>
    <t>Posição do Produto no Valor Bruto da Produção</t>
  </si>
  <si>
    <t>POSIÇÃO</t>
  </si>
  <si>
    <t>%</t>
  </si>
  <si>
    <t>1º</t>
  </si>
  <si>
    <t>2º</t>
  </si>
  <si>
    <t>3º</t>
  </si>
  <si>
    <t>4º</t>
  </si>
  <si>
    <t>5º</t>
  </si>
  <si>
    <t>6º</t>
  </si>
  <si>
    <t>7º</t>
  </si>
  <si>
    <t>8º</t>
  </si>
  <si>
    <t>9º</t>
  </si>
  <si>
    <t>10º</t>
  </si>
  <si>
    <t>11º</t>
  </si>
  <si>
    <t>12º</t>
  </si>
  <si>
    <t>13º</t>
  </si>
  <si>
    <t>14º</t>
  </si>
  <si>
    <t>15º</t>
  </si>
  <si>
    <t>16º</t>
  </si>
  <si>
    <t>17º</t>
  </si>
  <si>
    <t>-</t>
  </si>
  <si>
    <t>% 2025/2024</t>
  </si>
  <si>
    <t>PREÇOS CONAB para: Algodão, Amendoim, Arroz, Banana, Batata – inglesa, Cacau, Cana-de-açúcar, Cebola, Feijão, Fumo, Laranja, Mamona, Mandioca, Milho, Pimenta-do-reino, Soja, Tomate, Uva, Bovinos, Suínos, Leite, Ovos; PREÇOS Cepea/ESALQ/USP para: Café, Maçã, Trigo, Suíno (RS) e Frango; Café refere-se ao café arábica tipo 6, bebida dura para melhor e café robusta tipo 6, peneira 13 acima, com 86 defeitos; maçã refere-se a maçã gala nacional.</t>
  </si>
  <si>
    <t>PREÇOS CONAB para: Algodão, Amendoim, Arroz, Banana, Batata – inglesa, Cacau, Cana-de-açúcar, Cebola, Feijão, Fumo, Laranja, Mamona, Mandioca, Milho, Pimenta-do-reino, Soja, Tomate, Uva, Bovinos, Suínos, Leite, Ovos; PREÇOS Cepea/ESALQ/USP para: Café, Maçã, Trigo, suíno (RS) e Frango; Café refere-se ao café arábica tipo 6, bebida dura para melhor e café robusta tipo 6, peneira 13 acima, com 86 defeitos; maçã refere-se a maçã gala nacional.</t>
  </si>
  <si>
    <t xml:space="preserve">         3) em outubro de 2024 a série de suínos foi ajustada, alterando os dados a partir de 2017, para se adequar a nova metodologia implantada em janeiro/2024. </t>
  </si>
  <si>
    <t>variação % 2025/2024</t>
  </si>
  <si>
    <t>2024</t>
  </si>
  <si>
    <t>Elaboração: CGAEC/DAEP/SPA/MAPA.</t>
  </si>
  <si>
    <t>Fonte dos dados brutos: FGV e IBGE; Elaboração: CGAEC/DAEP/SPA/MAPA.</t>
  </si>
  <si>
    <t>ago/set</t>
  </si>
  <si>
    <t>% 2026/2025</t>
  </si>
  <si>
    <t>variação % 2026/2025</t>
  </si>
  <si>
    <t>set/out</t>
  </si>
  <si>
    <t>out/nov</t>
  </si>
  <si>
    <t>nov/dez</t>
  </si>
  <si>
    <t>2026**</t>
  </si>
  <si>
    <t>2025</t>
  </si>
  <si>
    <t>dez/jan</t>
  </si>
  <si>
    <t>Fonte Produção: Lavouras: IBGE - Levantamento Sistemático da Produção Agrícola - LSPA e Algodão Pluma, CONAB - Previsão de Safra; janeiro/2026; Pecuária: IBGE - Pesquisa Trimestral do Abate de Animais; Pesquisa Trimestral do Leite, Produção de Ovos de Galinha. Considerou-se para o ano em curso a produção dos últimos 4 trimestres.</t>
  </si>
  <si>
    <t xml:space="preserve">* Valores deflacionados pelo IGP-DI da FGV - janeiro/2026. </t>
  </si>
  <si>
    <t>* As informações de produção referem-se ao LSPA de janeiro/2026</t>
  </si>
  <si>
    <t>Fonte Preços: Cepea/Esalq/USP, CONAB e FGV/FGVDados; Preços Recebidos pelos Produtores média anual para os anos fechados e para 2026 preços médios de janeiro.</t>
  </si>
  <si>
    <t>** Valor Preliminar com base em janeiro/2026</t>
  </si>
  <si>
    <t>Fonte Preços: Cepea/Esalq/USP, CONAB e FGV/FGVDados; Preços Recebidos pelos Produtores média anual para os anos fechados e para 2026, preços médios de janeiro.</t>
  </si>
  <si>
    <t>Fonte: IBGE - Levantamento Sistemático da Produção Agrícola - LSPA e Algodão Pluma, CONAB - Previsão de Safra;  agosto/2025 a janeiro/2026; Pecuária: IBGE - Pesquisa Trimestral do Abate de Animais; Pesquisa Trimestral do Leite, Produção de Ovos de Galinha. Considerou-se para o ano em curso a produção dos últimos 4 trimestres.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</si>
</sst>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%"/>
  </numFmts>
  <fonts count="13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2"/>
      <name val="Segoe UI"/>
      <family val="2"/>
    </font>
    <font>
      <sz val="10"/>
      <name val="Segoe UI"/>
      <family val="2"/>
    </font>
    <font>
      <u/>
      <sz val="10"/>
      <name val="Segoe UI"/>
      <family val="2"/>
    </font>
    <font>
      <sz val="12"/>
      <name val="Segoe UI"/>
      <family val="2"/>
    </font>
    <font>
      <b/>
      <sz val="12"/>
      <color theme="0"/>
      <name val="Segoe UI"/>
      <family val="2"/>
    </font>
    <font>
      <sz val="12"/>
      <color theme="1"/>
      <name val="Segoe UI"/>
      <family val="2"/>
    </font>
    <font>
      <b/>
      <sz val="12"/>
      <color theme="1"/>
      <name val="Segoe UI"/>
      <family val="2"/>
    </font>
    <font>
      <b/>
      <u/>
      <sz val="10"/>
      <name val="Segoe UI"/>
      <family val="2"/>
    </font>
  </fonts>
  <fills count="1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/>
        <bgColor theme="6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8" tint="0.59999389629810485"/>
        <bgColor theme="8" tint="0.59999389629810485"/>
      </patternFill>
    </fill>
    <fill>
      <patternFill patternType="solid">
        <fgColor theme="9"/>
        <bgColor theme="9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DAEEF3"/>
        <bgColor theme="8" tint="0.79998168889431442"/>
      </patternFill>
    </fill>
    <fill>
      <patternFill patternType="solid">
        <fgColor rgb="FFDAEEF3"/>
        <bgColor theme="8" tint="0.59999389629810485"/>
      </patternFill>
    </fill>
  </fills>
  <borders count="4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theme="6" tint="0.39997558519241921"/>
      </right>
      <top style="thin">
        <color theme="6" tint="0.39997558519241921"/>
      </top>
      <bottom style="thin">
        <color theme="6" tint="0.39997558519241921"/>
      </bottom>
      <diagonal/>
    </border>
    <border>
      <left style="thin">
        <color indexed="64"/>
      </left>
      <right/>
      <top style="thin">
        <color theme="6" tint="0.39997558519241921"/>
      </top>
      <bottom style="thin">
        <color theme="6" tint="0.39997558519241921"/>
      </bottom>
      <diagonal/>
    </border>
    <border>
      <left style="thin">
        <color theme="6" tint="0.39997558519241921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theme="6" tint="0.39997558519241921"/>
      </right>
      <top style="thin">
        <color indexed="64"/>
      </top>
      <bottom style="double">
        <color indexed="64"/>
      </bottom>
      <diagonal/>
    </border>
    <border>
      <left style="thin">
        <color theme="6" tint="0.39997558519241921"/>
      </left>
      <right/>
      <top style="thin">
        <color theme="6" tint="0.39997558519241921"/>
      </top>
      <bottom style="thin">
        <color theme="6" tint="0.39997558519241921"/>
      </bottom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  <border>
      <left/>
      <right style="thin">
        <color theme="6" tint="0.39997558519241921"/>
      </right>
      <top style="thin">
        <color indexed="64"/>
      </top>
      <bottom style="double">
        <color indexed="64"/>
      </bottom>
      <diagonal/>
    </border>
    <border>
      <left/>
      <right style="thin">
        <color theme="6" tint="0.39997558519241921"/>
      </right>
      <top style="thin">
        <color theme="6" tint="0.39997558519241921"/>
      </top>
      <bottom style="thin">
        <color theme="6" tint="0.39997558519241921"/>
      </bottom>
      <diagonal/>
    </border>
    <border>
      <left/>
      <right style="thin">
        <color theme="0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double">
        <color indexed="64"/>
      </bottom>
      <diagonal/>
    </border>
    <border>
      <left style="thin">
        <color theme="0"/>
      </left>
      <right/>
      <top style="thin">
        <color indexed="64"/>
      </top>
      <bottom style="double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22"/>
      </left>
      <right style="thin">
        <color indexed="22"/>
      </right>
      <top style="thin">
        <color indexed="64"/>
      </top>
      <bottom style="double">
        <color indexed="64"/>
      </bottom>
      <diagonal/>
    </border>
    <border>
      <left style="thin">
        <color indexed="22"/>
      </left>
      <right/>
      <top style="thin">
        <color indexed="64"/>
      </top>
      <bottom style="double">
        <color indexed="64"/>
      </bottom>
      <diagonal/>
    </border>
    <border>
      <left style="thin">
        <color indexed="22"/>
      </left>
      <right style="thin">
        <color indexed="22"/>
      </right>
      <top style="double">
        <color indexed="64"/>
      </top>
      <bottom style="double">
        <color indexed="64"/>
      </bottom>
      <diagonal/>
    </border>
    <border>
      <left style="thin">
        <color indexed="22"/>
      </left>
      <right/>
      <top style="double">
        <color indexed="64"/>
      </top>
      <bottom style="double">
        <color indexed="64"/>
      </bottom>
      <diagonal/>
    </border>
    <border>
      <left style="thin">
        <color indexed="22"/>
      </left>
      <right style="thin">
        <color theme="0"/>
      </right>
      <top style="thin">
        <color indexed="64"/>
      </top>
      <bottom style="double">
        <color indexed="64"/>
      </bottom>
      <diagonal/>
    </border>
    <border>
      <left style="thin">
        <color indexed="22"/>
      </left>
      <right style="thin">
        <color indexed="22"/>
      </right>
      <top style="thin">
        <color theme="0"/>
      </top>
      <bottom style="thin">
        <color theme="0"/>
      </bottom>
      <diagonal/>
    </border>
    <border>
      <left style="thin">
        <color indexed="22"/>
      </left>
      <right style="thin">
        <color indexed="22"/>
      </right>
      <top style="double">
        <color indexed="64"/>
      </top>
      <bottom style="thin">
        <color theme="0"/>
      </bottom>
      <diagonal/>
    </border>
    <border>
      <left style="thin">
        <color indexed="22"/>
      </left>
      <right style="thin">
        <color theme="0"/>
      </right>
      <top style="double">
        <color indexed="64"/>
      </top>
      <bottom style="thin">
        <color theme="0"/>
      </bottom>
      <diagonal/>
    </border>
    <border>
      <left style="thin">
        <color theme="0"/>
      </left>
      <right/>
      <top style="double">
        <color indexed="64"/>
      </top>
      <bottom style="thin">
        <color theme="0"/>
      </bottom>
      <diagonal/>
    </border>
    <border>
      <left style="thin">
        <color indexed="22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22"/>
      </left>
      <right style="thin">
        <color theme="0"/>
      </right>
      <top style="double">
        <color indexed="64"/>
      </top>
      <bottom style="double">
        <color indexed="64"/>
      </bottom>
      <diagonal/>
    </border>
    <border>
      <left style="thin">
        <color theme="0"/>
      </left>
      <right/>
      <top style="double">
        <color indexed="64"/>
      </top>
      <bottom style="double">
        <color indexed="64"/>
      </bottom>
      <diagonal/>
    </border>
    <border>
      <left style="thin">
        <color indexed="22"/>
      </left>
      <right/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22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22"/>
      </right>
      <top style="double">
        <color indexed="64"/>
      </top>
      <bottom style="thin">
        <color theme="0"/>
      </bottom>
      <diagonal/>
    </border>
    <border>
      <left style="thin">
        <color indexed="64"/>
      </left>
      <right style="thin">
        <color indexed="22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22"/>
      </right>
      <top style="double">
        <color indexed="64"/>
      </top>
      <bottom style="double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</borders>
  <cellStyleXfs count="5">
    <xf numFmtId="0" fontId="0" fillId="0" borderId="0"/>
    <xf numFmtId="9" fontId="4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" fillId="0" borderId="0"/>
  </cellStyleXfs>
  <cellXfs count="154">
    <xf numFmtId="0" fontId="0" fillId="0" borderId="0" xfId="0"/>
    <xf numFmtId="0" fontId="5" fillId="0" borderId="0" xfId="0" applyFont="1" applyAlignment="1">
      <alignment horizontal="centerContinuous" vertical="center" wrapText="1"/>
    </xf>
    <xf numFmtId="0" fontId="6" fillId="0" borderId="0" xfId="0" applyFont="1"/>
    <xf numFmtId="0" fontId="8" fillId="0" borderId="0" xfId="0" applyFont="1"/>
    <xf numFmtId="0" fontId="8" fillId="0" borderId="1" xfId="0" applyFont="1" applyBorder="1" applyAlignment="1">
      <alignment horizontal="centerContinuous"/>
    </xf>
    <xf numFmtId="0" fontId="8" fillId="0" borderId="0" xfId="0" applyFont="1" applyAlignment="1">
      <alignment horizontal="centerContinuous"/>
    </xf>
    <xf numFmtId="0" fontId="9" fillId="4" borderId="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 wrapText="1"/>
    </xf>
    <xf numFmtId="0" fontId="9" fillId="4" borderId="9" xfId="0" applyFont="1" applyFill="1" applyBorder="1" applyAlignment="1">
      <alignment horizontal="center" vertical="center"/>
    </xf>
    <xf numFmtId="0" fontId="5" fillId="0" borderId="0" xfId="0" applyFont="1" applyAlignment="1">
      <alignment horizontal="left"/>
    </xf>
    <xf numFmtId="0" fontId="10" fillId="5" borderId="10" xfId="0" applyFont="1" applyFill="1" applyBorder="1"/>
    <xf numFmtId="3" fontId="10" fillId="5" borderId="11" xfId="0" applyNumberFormat="1" applyFont="1" applyFill="1" applyBorder="1"/>
    <xf numFmtId="164" fontId="10" fillId="5" borderId="7" xfId="0" applyNumberFormat="1" applyFont="1" applyFill="1" applyBorder="1" applyAlignment="1">
      <alignment horizontal="center"/>
    </xf>
    <xf numFmtId="3" fontId="10" fillId="5" borderId="6" xfId="0" applyNumberFormat="1" applyFont="1" applyFill="1" applyBorder="1"/>
    <xf numFmtId="0" fontId="8" fillId="0" borderId="0" xfId="0" applyFont="1" applyAlignment="1">
      <alignment horizontal="left"/>
    </xf>
    <xf numFmtId="0" fontId="10" fillId="0" borderId="10" xfId="0" applyFont="1" applyBorder="1"/>
    <xf numFmtId="3" fontId="10" fillId="0" borderId="11" xfId="0" applyNumberFormat="1" applyFont="1" applyBorder="1"/>
    <xf numFmtId="164" fontId="10" fillId="0" borderId="7" xfId="0" applyNumberFormat="1" applyFont="1" applyBorder="1" applyAlignment="1">
      <alignment horizontal="center"/>
    </xf>
    <xf numFmtId="3" fontId="10" fillId="0" borderId="6" xfId="0" applyNumberFormat="1" applyFont="1" applyBorder="1"/>
    <xf numFmtId="0" fontId="11" fillId="2" borderId="8" xfId="0" applyFont="1" applyFill="1" applyBorder="1"/>
    <xf numFmtId="3" fontId="11" fillId="2" borderId="3" xfId="0" applyNumberFormat="1" applyFont="1" applyFill="1" applyBorder="1"/>
    <xf numFmtId="164" fontId="10" fillId="2" borderId="2" xfId="0" applyNumberFormat="1" applyFont="1" applyFill="1" applyBorder="1" applyAlignment="1">
      <alignment horizontal="center"/>
    </xf>
    <xf numFmtId="3" fontId="11" fillId="2" borderId="9" xfId="0" applyNumberFormat="1" applyFont="1" applyFill="1" applyBorder="1"/>
    <xf numFmtId="0" fontId="11" fillId="3" borderId="8" xfId="0" applyFont="1" applyFill="1" applyBorder="1"/>
    <xf numFmtId="3" fontId="11" fillId="3" borderId="3" xfId="0" applyNumberFormat="1" applyFont="1" applyFill="1" applyBorder="1"/>
    <xf numFmtId="164" fontId="10" fillId="3" borderId="2" xfId="0" applyNumberFormat="1" applyFont="1" applyFill="1" applyBorder="1" applyAlignment="1">
      <alignment horizontal="center"/>
    </xf>
    <xf numFmtId="3" fontId="11" fillId="3" borderId="9" xfId="0" applyNumberFormat="1" applyFont="1" applyFill="1" applyBorder="1"/>
    <xf numFmtId="0" fontId="8" fillId="0" borderId="0" xfId="0" applyFont="1" applyAlignment="1">
      <alignment horizontal="left" wrapText="1"/>
    </xf>
    <xf numFmtId="0" fontId="5" fillId="0" borderId="0" xfId="0" applyFont="1" applyAlignment="1">
      <alignment horizontal="centerContinuous"/>
    </xf>
    <xf numFmtId="0" fontId="6" fillId="0" borderId="0" xfId="0" applyFont="1" applyAlignment="1">
      <alignment vertical="center"/>
    </xf>
    <xf numFmtId="0" fontId="12" fillId="0" borderId="0" xfId="0" applyFont="1" applyAlignment="1">
      <alignment vertical="center" wrapText="1"/>
    </xf>
    <xf numFmtId="49" fontId="9" fillId="4" borderId="3" xfId="0" applyNumberFormat="1" applyFont="1" applyFill="1" applyBorder="1" applyAlignment="1">
      <alignment horizontal="center" vertical="center"/>
    </xf>
    <xf numFmtId="49" fontId="9" fillId="4" borderId="12" xfId="0" applyNumberFormat="1" applyFont="1" applyFill="1" applyBorder="1" applyAlignment="1">
      <alignment horizontal="center" vertical="center"/>
    </xf>
    <xf numFmtId="4" fontId="10" fillId="5" borderId="11" xfId="0" applyNumberFormat="1" applyFont="1" applyFill="1" applyBorder="1"/>
    <xf numFmtId="4" fontId="10" fillId="5" borderId="13" xfId="0" applyNumberFormat="1" applyFont="1" applyFill="1" applyBorder="1"/>
    <xf numFmtId="4" fontId="10" fillId="0" borderId="11" xfId="0" applyNumberFormat="1" applyFont="1" applyBorder="1"/>
    <xf numFmtId="4" fontId="10" fillId="0" borderId="13" xfId="0" applyNumberFormat="1" applyFont="1" applyBorder="1"/>
    <xf numFmtId="0" fontId="11" fillId="0" borderId="8" xfId="0" applyFont="1" applyBorder="1"/>
    <xf numFmtId="4" fontId="11" fillId="0" borderId="3" xfId="0" applyNumberFormat="1" applyFont="1" applyBorder="1"/>
    <xf numFmtId="4" fontId="11" fillId="0" borderId="12" xfId="0" applyNumberFormat="1" applyFont="1" applyBorder="1"/>
    <xf numFmtId="0" fontId="11" fillId="5" borderId="8" xfId="0" applyFont="1" applyFill="1" applyBorder="1"/>
    <xf numFmtId="4" fontId="11" fillId="5" borderId="3" xfId="0" applyNumberFormat="1" applyFont="1" applyFill="1" applyBorder="1"/>
    <xf numFmtId="4" fontId="11" fillId="5" borderId="12" xfId="0" applyNumberFormat="1" applyFont="1" applyFill="1" applyBorder="1"/>
    <xf numFmtId="0" fontId="8" fillId="0" borderId="0" xfId="0" applyFont="1" applyAlignment="1">
      <alignment horizontal="center"/>
    </xf>
    <xf numFmtId="0" fontId="5" fillId="4" borderId="8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10" fillId="5" borderId="10" xfId="0" applyFont="1" applyFill="1" applyBorder="1" applyAlignment="1">
      <alignment horizontal="center"/>
    </xf>
    <xf numFmtId="165" fontId="10" fillId="5" borderId="11" xfId="1" applyNumberFormat="1" applyFont="1" applyFill="1" applyBorder="1" applyAlignment="1">
      <alignment horizontal="center"/>
    </xf>
    <xf numFmtId="0" fontId="10" fillId="0" borderId="10" xfId="0" applyFont="1" applyBorder="1" applyAlignment="1">
      <alignment horizontal="center"/>
    </xf>
    <xf numFmtId="165" fontId="10" fillId="0" borderId="11" xfId="1" applyNumberFormat="1" applyFont="1" applyBorder="1" applyAlignment="1">
      <alignment horizontal="center"/>
    </xf>
    <xf numFmtId="0" fontId="11" fillId="2" borderId="8" xfId="0" applyFont="1" applyFill="1" applyBorder="1" applyAlignment="1">
      <alignment horizontal="center"/>
    </xf>
    <xf numFmtId="165" fontId="11" fillId="2" borderId="3" xfId="1" applyNumberFormat="1" applyFont="1" applyFill="1" applyBorder="1" applyAlignment="1">
      <alignment horizontal="center"/>
    </xf>
    <xf numFmtId="0" fontId="11" fillId="3" borderId="8" xfId="0" applyFont="1" applyFill="1" applyBorder="1" applyAlignment="1">
      <alignment horizontal="center"/>
    </xf>
    <xf numFmtId="165" fontId="11" fillId="3" borderId="3" xfId="1" applyNumberFormat="1" applyFont="1" applyFill="1" applyBorder="1" applyAlignment="1">
      <alignment horizontal="center"/>
    </xf>
    <xf numFmtId="0" fontId="9" fillId="4" borderId="12" xfId="0" applyFont="1" applyFill="1" applyBorder="1" applyAlignment="1">
      <alignment horizontal="center" vertical="center"/>
    </xf>
    <xf numFmtId="3" fontId="10" fillId="5" borderId="13" xfId="0" applyNumberFormat="1" applyFont="1" applyFill="1" applyBorder="1"/>
    <xf numFmtId="3" fontId="10" fillId="0" borderId="13" xfId="0" applyNumberFormat="1" applyFont="1" applyBorder="1"/>
    <xf numFmtId="3" fontId="11" fillId="0" borderId="3" xfId="0" applyNumberFormat="1" applyFont="1" applyBorder="1"/>
    <xf numFmtId="3" fontId="11" fillId="0" borderId="12" xfId="0" applyNumberFormat="1" applyFont="1" applyBorder="1"/>
    <xf numFmtId="3" fontId="11" fillId="5" borderId="3" xfId="0" applyNumberFormat="1" applyFont="1" applyFill="1" applyBorder="1"/>
    <xf numFmtId="3" fontId="11" fillId="5" borderId="12" xfId="0" applyNumberFormat="1" applyFont="1" applyFill="1" applyBorder="1"/>
    <xf numFmtId="0" fontId="9" fillId="8" borderId="3" xfId="0" applyFont="1" applyFill="1" applyBorder="1" applyAlignment="1">
      <alignment horizontal="center" vertical="center"/>
    </xf>
    <xf numFmtId="17" fontId="9" fillId="8" borderId="36" xfId="0" applyNumberFormat="1" applyFont="1" applyFill="1" applyBorder="1" applyAlignment="1">
      <alignment horizontal="center" vertical="center"/>
    </xf>
    <xf numFmtId="17" fontId="9" fillId="8" borderId="23" xfId="0" applyNumberFormat="1" applyFont="1" applyFill="1" applyBorder="1" applyAlignment="1">
      <alignment horizontal="center" vertical="center"/>
    </xf>
    <xf numFmtId="17" fontId="9" fillId="8" borderId="24" xfId="0" applyNumberFormat="1" applyFont="1" applyFill="1" applyBorder="1" applyAlignment="1">
      <alignment horizontal="center" vertical="center"/>
    </xf>
    <xf numFmtId="17" fontId="9" fillId="8" borderId="27" xfId="0" applyNumberFormat="1" applyFont="1" applyFill="1" applyBorder="1" applyAlignment="1">
      <alignment horizontal="center" vertical="center"/>
    </xf>
    <xf numFmtId="0" fontId="10" fillId="9" borderId="40" xfId="0" applyFont="1" applyFill="1" applyBorder="1"/>
    <xf numFmtId="3" fontId="10" fillId="9" borderId="38" xfId="0" applyNumberFormat="1" applyFont="1" applyFill="1" applyBorder="1" applyAlignment="1">
      <alignment horizontal="right"/>
    </xf>
    <xf numFmtId="3" fontId="10" fillId="9" borderId="28" xfId="0" applyNumberFormat="1" applyFont="1" applyFill="1" applyBorder="1" applyAlignment="1">
      <alignment horizontal="right"/>
    </xf>
    <xf numFmtId="3" fontId="10" fillId="9" borderId="35" xfId="0" applyNumberFormat="1" applyFont="1" applyFill="1" applyBorder="1" applyAlignment="1">
      <alignment horizontal="right"/>
    </xf>
    <xf numFmtId="4" fontId="10" fillId="9" borderId="37" xfId="0" applyNumberFormat="1" applyFont="1" applyFill="1" applyBorder="1" applyAlignment="1">
      <alignment horizontal="center"/>
    </xf>
    <xf numFmtId="4" fontId="10" fillId="9" borderId="29" xfId="0" applyNumberFormat="1" applyFont="1" applyFill="1" applyBorder="1" applyAlignment="1">
      <alignment horizontal="center"/>
    </xf>
    <xf numFmtId="4" fontId="10" fillId="9" borderId="30" xfId="0" applyNumberFormat="1" applyFont="1" applyFill="1" applyBorder="1" applyAlignment="1">
      <alignment horizontal="center"/>
    </xf>
    <xf numFmtId="4" fontId="10" fillId="9" borderId="31" xfId="0" applyNumberFormat="1" applyFont="1" applyFill="1" applyBorder="1" applyAlignment="1">
      <alignment horizontal="center"/>
    </xf>
    <xf numFmtId="0" fontId="10" fillId="10" borderId="40" xfId="0" applyFont="1" applyFill="1" applyBorder="1"/>
    <xf numFmtId="3" fontId="10" fillId="10" borderId="38" xfId="0" applyNumberFormat="1" applyFont="1" applyFill="1" applyBorder="1" applyAlignment="1">
      <alignment horizontal="right"/>
    </xf>
    <xf numFmtId="3" fontId="10" fillId="10" borderId="28" xfId="0" applyNumberFormat="1" applyFont="1" applyFill="1" applyBorder="1" applyAlignment="1">
      <alignment horizontal="right"/>
    </xf>
    <xf numFmtId="3" fontId="10" fillId="10" borderId="35" xfId="0" applyNumberFormat="1" applyFont="1" applyFill="1" applyBorder="1" applyAlignment="1">
      <alignment horizontal="right"/>
    </xf>
    <xf numFmtId="4" fontId="10" fillId="10" borderId="38" xfId="0" applyNumberFormat="1" applyFont="1" applyFill="1" applyBorder="1" applyAlignment="1">
      <alignment horizontal="center"/>
    </xf>
    <xf numFmtId="4" fontId="10" fillId="10" borderId="28" xfId="0" applyNumberFormat="1" applyFont="1" applyFill="1" applyBorder="1" applyAlignment="1">
      <alignment horizontal="center"/>
    </xf>
    <xf numFmtId="4" fontId="10" fillId="10" borderId="32" xfId="0" applyNumberFormat="1" applyFont="1" applyFill="1" applyBorder="1" applyAlignment="1">
      <alignment horizontal="center"/>
    </xf>
    <xf numFmtId="4" fontId="10" fillId="10" borderId="19" xfId="0" applyNumberFormat="1" applyFont="1" applyFill="1" applyBorder="1" applyAlignment="1">
      <alignment horizontal="center"/>
    </xf>
    <xf numFmtId="4" fontId="10" fillId="9" borderId="38" xfId="0" applyNumberFormat="1" applyFont="1" applyFill="1" applyBorder="1" applyAlignment="1">
      <alignment horizontal="center"/>
    </xf>
    <xf numFmtId="4" fontId="10" fillId="9" borderId="28" xfId="0" applyNumberFormat="1" applyFont="1" applyFill="1" applyBorder="1" applyAlignment="1">
      <alignment horizontal="center"/>
    </xf>
    <xf numFmtId="4" fontId="10" fillId="9" borderId="32" xfId="0" applyNumberFormat="1" applyFont="1" applyFill="1" applyBorder="1" applyAlignment="1">
      <alignment horizontal="center"/>
    </xf>
    <xf numFmtId="4" fontId="10" fillId="9" borderId="19" xfId="0" applyNumberFormat="1" applyFont="1" applyFill="1" applyBorder="1" applyAlignment="1">
      <alignment horizontal="center"/>
    </xf>
    <xf numFmtId="0" fontId="11" fillId="10" borderId="3" xfId="0" applyFont="1" applyFill="1" applyBorder="1"/>
    <xf numFmtId="3" fontId="11" fillId="10" borderId="36" xfId="0" applyNumberFormat="1" applyFont="1" applyFill="1" applyBorder="1"/>
    <xf numFmtId="3" fontId="11" fillId="10" borderId="23" xfId="0" applyNumberFormat="1" applyFont="1" applyFill="1" applyBorder="1"/>
    <xf numFmtId="3" fontId="11" fillId="10" borderId="24" xfId="0" applyNumberFormat="1" applyFont="1" applyFill="1" applyBorder="1"/>
    <xf numFmtId="4" fontId="11" fillId="10" borderId="36" xfId="0" applyNumberFormat="1" applyFont="1" applyFill="1" applyBorder="1" applyAlignment="1">
      <alignment horizontal="center"/>
    </xf>
    <xf numFmtId="4" fontId="11" fillId="10" borderId="23" xfId="0" applyNumberFormat="1" applyFont="1" applyFill="1" applyBorder="1" applyAlignment="1">
      <alignment horizontal="center"/>
    </xf>
    <xf numFmtId="4" fontId="11" fillId="10" borderId="27" xfId="0" applyNumberFormat="1" applyFont="1" applyFill="1" applyBorder="1" applyAlignment="1">
      <alignment horizontal="center"/>
    </xf>
    <xf numFmtId="4" fontId="11" fillId="10" borderId="16" xfId="0" applyNumberFormat="1" applyFont="1" applyFill="1" applyBorder="1" applyAlignment="1">
      <alignment horizontal="center"/>
    </xf>
    <xf numFmtId="3" fontId="10" fillId="9" borderId="38" xfId="0" applyNumberFormat="1" applyFont="1" applyFill="1" applyBorder="1"/>
    <xf numFmtId="3" fontId="10" fillId="9" borderId="28" xfId="0" applyNumberFormat="1" applyFont="1" applyFill="1" applyBorder="1"/>
    <xf numFmtId="3" fontId="10" fillId="9" borderId="35" xfId="0" applyNumberFormat="1" applyFont="1" applyFill="1" applyBorder="1"/>
    <xf numFmtId="3" fontId="10" fillId="10" borderId="38" xfId="0" applyNumberFormat="1" applyFont="1" applyFill="1" applyBorder="1"/>
    <xf numFmtId="3" fontId="10" fillId="10" borderId="28" xfId="0" applyNumberFormat="1" applyFont="1" applyFill="1" applyBorder="1"/>
    <xf numFmtId="3" fontId="10" fillId="10" borderId="35" xfId="0" applyNumberFormat="1" applyFont="1" applyFill="1" applyBorder="1"/>
    <xf numFmtId="0" fontId="11" fillId="9" borderId="4" xfId="0" applyFont="1" applyFill="1" applyBorder="1"/>
    <xf numFmtId="3" fontId="11" fillId="9" borderId="39" xfId="0" applyNumberFormat="1" applyFont="1" applyFill="1" applyBorder="1"/>
    <xf numFmtId="3" fontId="11" fillId="9" borderId="25" xfId="0" applyNumberFormat="1" applyFont="1" applyFill="1" applyBorder="1"/>
    <xf numFmtId="3" fontId="11" fillId="9" borderId="26" xfId="0" applyNumberFormat="1" applyFont="1" applyFill="1" applyBorder="1"/>
    <xf numFmtId="2" fontId="11" fillId="9" borderId="39" xfId="0" applyNumberFormat="1" applyFont="1" applyFill="1" applyBorder="1" applyAlignment="1">
      <alignment horizontal="center"/>
    </xf>
    <xf numFmtId="2" fontId="11" fillId="9" borderId="25" xfId="0" applyNumberFormat="1" applyFont="1" applyFill="1" applyBorder="1" applyAlignment="1">
      <alignment horizontal="center"/>
    </xf>
    <xf numFmtId="2" fontId="11" fillId="9" borderId="33" xfId="0" applyNumberFormat="1" applyFont="1" applyFill="1" applyBorder="1" applyAlignment="1">
      <alignment horizontal="center"/>
    </xf>
    <xf numFmtId="2" fontId="11" fillId="9" borderId="34" xfId="0" applyNumberFormat="1" applyFont="1" applyFill="1" applyBorder="1" applyAlignment="1">
      <alignment horizontal="center"/>
    </xf>
    <xf numFmtId="0" fontId="8" fillId="0" borderId="0" xfId="0" applyFont="1" applyAlignment="1">
      <alignment horizontal="centerContinuous" wrapText="1"/>
    </xf>
    <xf numFmtId="0" fontId="11" fillId="7" borderId="14" xfId="0" applyFont="1" applyFill="1" applyBorder="1" applyAlignment="1">
      <alignment horizontal="center" vertical="center" wrapText="1"/>
    </xf>
    <xf numFmtId="4" fontId="11" fillId="7" borderId="15" xfId="0" applyNumberFormat="1" applyFont="1" applyFill="1" applyBorder="1" applyAlignment="1">
      <alignment horizontal="center" vertical="center" wrapText="1"/>
    </xf>
    <xf numFmtId="4" fontId="11" fillId="7" borderId="16" xfId="0" applyNumberFormat="1" applyFont="1" applyFill="1" applyBorder="1" applyAlignment="1">
      <alignment horizontal="center" vertical="center" wrapText="1"/>
    </xf>
    <xf numFmtId="0" fontId="11" fillId="6" borderId="20" xfId="0" applyFont="1" applyFill="1" applyBorder="1" applyAlignment="1">
      <alignment horizontal="center"/>
    </xf>
    <xf numFmtId="4" fontId="10" fillId="6" borderId="21" xfId="0" applyNumberFormat="1" applyFont="1" applyFill="1" applyBorder="1" applyAlignment="1">
      <alignment horizontal="center"/>
    </xf>
    <xf numFmtId="4" fontId="10" fillId="6" borderId="22" xfId="0" applyNumberFormat="1" applyFont="1" applyFill="1" applyBorder="1" applyAlignment="1">
      <alignment horizontal="center"/>
    </xf>
    <xf numFmtId="0" fontId="11" fillId="7" borderId="17" xfId="0" applyFont="1" applyFill="1" applyBorder="1" applyAlignment="1">
      <alignment horizontal="center"/>
    </xf>
    <xf numFmtId="4" fontId="10" fillId="7" borderId="18" xfId="0" applyNumberFormat="1" applyFont="1" applyFill="1" applyBorder="1" applyAlignment="1">
      <alignment horizontal="center"/>
    </xf>
    <xf numFmtId="4" fontId="10" fillId="7" borderId="19" xfId="0" applyNumberFormat="1" applyFont="1" applyFill="1" applyBorder="1" applyAlignment="1">
      <alignment horizontal="center"/>
    </xf>
    <xf numFmtId="0" fontId="11" fillId="6" borderId="17" xfId="0" applyFont="1" applyFill="1" applyBorder="1" applyAlignment="1">
      <alignment horizontal="center"/>
    </xf>
    <xf numFmtId="4" fontId="10" fillId="6" borderId="19" xfId="0" applyNumberFormat="1" applyFont="1" applyFill="1" applyBorder="1" applyAlignment="1">
      <alignment horizontal="center"/>
    </xf>
    <xf numFmtId="165" fontId="8" fillId="0" borderId="0" xfId="1" applyNumberFormat="1" applyFont="1"/>
    <xf numFmtId="165" fontId="8" fillId="0" borderId="0" xfId="1" applyNumberFormat="1" applyFont="1" applyBorder="1" applyAlignment="1">
      <alignment horizontal="center"/>
    </xf>
    <xf numFmtId="0" fontId="5" fillId="0" borderId="0" xfId="0" applyFont="1" applyAlignment="1">
      <alignment horizontal="centerContinuous" wrapText="1"/>
    </xf>
    <xf numFmtId="0" fontId="5" fillId="0" borderId="0" xfId="0" applyFont="1" applyAlignment="1">
      <alignment horizontal="left" wrapText="1"/>
    </xf>
    <xf numFmtId="0" fontId="6" fillId="11" borderId="0" xfId="0" applyFont="1" applyFill="1"/>
    <xf numFmtId="0" fontId="6" fillId="0" borderId="0" xfId="0" applyFont="1" applyAlignment="1">
      <alignment horizontal="left" vertical="center" wrapText="1"/>
    </xf>
    <xf numFmtId="49" fontId="5" fillId="0" borderId="0" xfId="1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11" fillId="12" borderId="17" xfId="0" applyFont="1" applyFill="1" applyBorder="1" applyAlignment="1">
      <alignment horizontal="center"/>
    </xf>
    <xf numFmtId="0" fontId="11" fillId="13" borderId="17" xfId="0" applyFont="1" applyFill="1" applyBorder="1" applyAlignment="1">
      <alignment horizontal="center"/>
    </xf>
    <xf numFmtId="4" fontId="10" fillId="13" borderId="18" xfId="0" applyNumberFormat="1" applyFont="1" applyFill="1" applyBorder="1" applyAlignment="1">
      <alignment horizontal="center"/>
    </xf>
    <xf numFmtId="4" fontId="10" fillId="13" borderId="19" xfId="0" applyNumberFormat="1" applyFont="1" applyFill="1" applyBorder="1" applyAlignment="1">
      <alignment horizontal="center"/>
    </xf>
    <xf numFmtId="3" fontId="10" fillId="5" borderId="11" xfId="0" applyNumberFormat="1" applyFont="1" applyFill="1" applyBorder="1" applyAlignment="1">
      <alignment horizontal="center"/>
    </xf>
    <xf numFmtId="3" fontId="10" fillId="5" borderId="13" xfId="0" applyNumberFormat="1" applyFont="1" applyFill="1" applyBorder="1" applyAlignment="1">
      <alignment horizontal="center"/>
    </xf>
    <xf numFmtId="3" fontId="10" fillId="0" borderId="13" xfId="0" applyNumberFormat="1" applyFont="1" applyBorder="1" applyAlignment="1">
      <alignment horizontal="center"/>
    </xf>
    <xf numFmtId="3" fontId="10" fillId="0" borderId="11" xfId="0" applyNumberFormat="1" applyFont="1" applyBorder="1" applyAlignment="1">
      <alignment horizontal="center"/>
    </xf>
    <xf numFmtId="3" fontId="11" fillId="0" borderId="3" xfId="0" applyNumberFormat="1" applyFont="1" applyBorder="1" applyAlignment="1">
      <alignment horizontal="center"/>
    </xf>
    <xf numFmtId="3" fontId="10" fillId="9" borderId="35" xfId="0" applyNumberFormat="1" applyFont="1" applyFill="1" applyBorder="1" applyAlignment="1">
      <alignment horizontal="center"/>
    </xf>
    <xf numFmtId="4" fontId="10" fillId="5" borderId="11" xfId="0" applyNumberFormat="1" applyFont="1" applyFill="1" applyBorder="1" applyAlignment="1">
      <alignment horizontal="center"/>
    </xf>
    <xf numFmtId="4" fontId="10" fillId="0" borderId="11" xfId="0" applyNumberFormat="1" applyFont="1" applyBorder="1" applyAlignment="1">
      <alignment horizontal="center"/>
    </xf>
    <xf numFmtId="4" fontId="10" fillId="5" borderId="13" xfId="0" applyNumberFormat="1" applyFont="1" applyFill="1" applyBorder="1" applyAlignment="1">
      <alignment horizontal="center"/>
    </xf>
    <xf numFmtId="4" fontId="10" fillId="0" borderId="13" xfId="0" applyNumberFormat="1" applyFont="1" applyBorder="1" applyAlignment="1">
      <alignment horizontal="center"/>
    </xf>
    <xf numFmtId="4" fontId="11" fillId="0" borderId="3" xfId="0" applyNumberFormat="1" applyFont="1" applyBorder="1" applyAlignment="1">
      <alignment horizontal="center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 vertical="center" wrapText="1"/>
    </xf>
    <xf numFmtId="0" fontId="6" fillId="0" borderId="0" xfId="0" applyFont="1" applyAlignment="1">
      <alignment vertical="center" wrapText="1"/>
    </xf>
    <xf numFmtId="0" fontId="6" fillId="0" borderId="5" xfId="0" applyFont="1" applyBorder="1" applyAlignment="1">
      <alignment horizontal="left" vertical="center" wrapText="1"/>
    </xf>
    <xf numFmtId="0" fontId="8" fillId="0" borderId="0" xfId="0" applyFont="1" applyAlignment="1">
      <alignment horizontal="center"/>
    </xf>
    <xf numFmtId="0" fontId="6" fillId="0" borderId="0" xfId="0" applyFont="1" applyAlignment="1">
      <alignment horizontal="left" wrapText="1"/>
    </xf>
    <xf numFmtId="0" fontId="8" fillId="0" borderId="0" xfId="0" applyFont="1" applyAlignment="1">
      <alignment horizontal="left" wrapText="1"/>
    </xf>
    <xf numFmtId="0" fontId="5" fillId="0" borderId="0" xfId="0" applyFont="1" applyAlignment="1">
      <alignment horizontal="center"/>
    </xf>
    <xf numFmtId="0" fontId="8" fillId="0" borderId="1" xfId="0" applyFont="1" applyBorder="1" applyAlignment="1">
      <alignment horizontal="center"/>
    </xf>
  </cellXfs>
  <cellStyles count="5">
    <cellStyle name="Normal" xfId="0" builtinId="0"/>
    <cellStyle name="Normal 2" xfId="3" xr:uid="{00000000-0005-0000-0000-000001000000}"/>
    <cellStyle name="Normal 3" xfId="4" xr:uid="{00000000-0005-0000-0000-000002000000}"/>
    <cellStyle name="Porcentagem" xfId="1" builtinId="5"/>
    <cellStyle name="Porcentagem 2" xfId="2" xr:uid="{00000000-0005-0000-0000-000004000000}"/>
  </cellStyles>
  <dxfs count="0"/>
  <tableStyles count="0" defaultTableStyle="TableStyleMedium2" defaultPivotStyle="PivotStyleLight16"/>
  <colors>
    <mruColors>
      <color rgb="FFFF6600"/>
      <color rgb="FFDAEEF3"/>
      <color rgb="FF008000"/>
      <color rgb="FF0000FF"/>
      <color rgb="FFEA813A"/>
      <color rgb="FFB3423F"/>
      <color rgb="FF3642B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pt-BR"/>
              <a:t>VBP AGROPECUÁRIA - BRASIL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3.7700473493150935E-2"/>
          <c:y val="0.11457839059926869"/>
          <c:w val="0.93662968313651551"/>
          <c:h val="0.70010524058797707"/>
        </c:manualLayout>
      </c:layout>
      <c:lineChart>
        <c:grouping val="standard"/>
        <c:varyColors val="0"/>
        <c:ser>
          <c:idx val="0"/>
          <c:order val="0"/>
          <c:tx>
            <c:strRef>
              <c:f>'VBP completo'!$A$27</c:f>
              <c:strCache>
                <c:ptCount val="1"/>
                <c:pt idx="0">
                  <c:v>TOTAL LAVOURAS</c:v>
                </c:pt>
              </c:strCache>
            </c:strRef>
          </c:tx>
          <c:spPr>
            <a:ln w="50800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diamond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25400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ysClr val="windowText" lastClr="000000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'VBP completo'!$M$3:$AM$3</c:f>
              <c:strCache>
                <c:ptCount val="27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  <c:pt idx="26">
                  <c:v>2026**</c:v>
                </c:pt>
              </c:strCache>
            </c:strRef>
          </c:cat>
          <c:val>
            <c:numRef>
              <c:f>'VBP completo'!$M$27:$AM$27</c:f>
              <c:numCache>
                <c:formatCode>#,##0.00</c:formatCode>
                <c:ptCount val="27"/>
                <c:pt idx="0">
                  <c:v>282.13214660944357</c:v>
                </c:pt>
                <c:pt idx="1">
                  <c:v>313.3966378430261</c:v>
                </c:pt>
                <c:pt idx="2">
                  <c:v>374.3631028415038</c:v>
                </c:pt>
                <c:pt idx="3">
                  <c:v>424.89926225784154</c:v>
                </c:pt>
                <c:pt idx="4">
                  <c:v>421.78830198685733</c:v>
                </c:pt>
                <c:pt idx="5">
                  <c:v>356.60298044427878</c:v>
                </c:pt>
                <c:pt idx="6">
                  <c:v>358.78149011505462</c:v>
                </c:pt>
                <c:pt idx="7">
                  <c:v>405.17830382985989</c:v>
                </c:pt>
                <c:pt idx="8">
                  <c:v>465.24473871489016</c:v>
                </c:pt>
                <c:pt idx="9">
                  <c:v>441.920882001797</c:v>
                </c:pt>
                <c:pt idx="10">
                  <c:v>458.3207950072491</c:v>
                </c:pt>
                <c:pt idx="11">
                  <c:v>532.28294692685176</c:v>
                </c:pt>
                <c:pt idx="12">
                  <c:v>561.22795031221733</c:v>
                </c:pt>
                <c:pt idx="13">
                  <c:v>610.61959330762966</c:v>
                </c:pt>
                <c:pt idx="14">
                  <c:v>618.47571429682648</c:v>
                </c:pt>
                <c:pt idx="15">
                  <c:v>620.71977467527677</c:v>
                </c:pt>
                <c:pt idx="16">
                  <c:v>628.56892558466609</c:v>
                </c:pt>
                <c:pt idx="17">
                  <c:v>631.17866047120663</c:v>
                </c:pt>
                <c:pt idx="18">
                  <c:v>609.68316967612589</c:v>
                </c:pt>
                <c:pt idx="19">
                  <c:v>600.91552294898929</c:v>
                </c:pt>
                <c:pt idx="20">
                  <c:v>732.5301145926453</c:v>
                </c:pt>
                <c:pt idx="21">
                  <c:v>830.22788119648988</c:v>
                </c:pt>
                <c:pt idx="22">
                  <c:v>834.92163694237945</c:v>
                </c:pt>
                <c:pt idx="23">
                  <c:v>868.86817223696096</c:v>
                </c:pt>
                <c:pt idx="24">
                  <c:v>842.81857665201164</c:v>
                </c:pt>
                <c:pt idx="25">
                  <c:v>932.34173251513732</c:v>
                </c:pt>
                <c:pt idx="26">
                  <c:v>895.31137119525681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29-4859-937A-6DDCE1CE3021}"/>
            </c:ext>
          </c:extLst>
        </c:ser>
        <c:ser>
          <c:idx val="1"/>
          <c:order val="1"/>
          <c:tx>
            <c:strRef>
              <c:f>'VBP completo'!$A$33</c:f>
              <c:strCache>
                <c:ptCount val="1"/>
                <c:pt idx="0">
                  <c:v>TOTAL PECUÁRIA</c:v>
                </c:pt>
              </c:strCache>
            </c:strRef>
          </c:tx>
          <c:spPr>
            <a:ln w="50800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square"/>
            <c:size val="6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25400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ysClr val="windowText" lastClr="000000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'VBP completo'!$M$3:$AM$3</c:f>
              <c:strCache>
                <c:ptCount val="27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  <c:pt idx="26">
                  <c:v>2026**</c:v>
                </c:pt>
              </c:strCache>
            </c:strRef>
          </c:cat>
          <c:val>
            <c:numRef>
              <c:f>'VBP completo'!$M$33:$AM$33</c:f>
              <c:numCache>
                <c:formatCode>#,##0.00</c:formatCode>
                <c:ptCount val="27"/>
                <c:pt idx="0">
                  <c:v>134.08991024445706</c:v>
                </c:pt>
                <c:pt idx="1">
                  <c:v>142.88124468283365</c:v>
                </c:pt>
                <c:pt idx="2">
                  <c:v>152.08830510401145</c:v>
                </c:pt>
                <c:pt idx="3">
                  <c:v>162.90724419390185</c:v>
                </c:pt>
                <c:pt idx="4">
                  <c:v>176.84224025839777</c:v>
                </c:pt>
                <c:pt idx="5">
                  <c:v>188.30322522543383</c:v>
                </c:pt>
                <c:pt idx="6">
                  <c:v>182.79796053420262</c:v>
                </c:pt>
                <c:pt idx="7">
                  <c:v>214.20039119303215</c:v>
                </c:pt>
                <c:pt idx="8">
                  <c:v>239.74940359806075</c:v>
                </c:pt>
                <c:pt idx="9">
                  <c:v>236.56890052565834</c:v>
                </c:pt>
                <c:pt idx="10">
                  <c:v>246.43208616946873</c:v>
                </c:pt>
                <c:pt idx="11">
                  <c:v>260.80572512727912</c:v>
                </c:pt>
                <c:pt idx="12">
                  <c:v>266.00571003299029</c:v>
                </c:pt>
                <c:pt idx="13">
                  <c:v>296.74586000452041</c:v>
                </c:pt>
                <c:pt idx="14">
                  <c:v>319.85708665328764</c:v>
                </c:pt>
                <c:pt idx="15">
                  <c:v>326.00210773886761</c:v>
                </c:pt>
                <c:pt idx="16">
                  <c:v>314.55861724068097</c:v>
                </c:pt>
                <c:pt idx="17">
                  <c:v>318.57862591782873</c:v>
                </c:pt>
                <c:pt idx="18">
                  <c:v>308.40701295509666</c:v>
                </c:pt>
                <c:pt idx="19">
                  <c:v>337.19655320581961</c:v>
                </c:pt>
                <c:pt idx="20">
                  <c:v>372.84079288887204</c:v>
                </c:pt>
                <c:pt idx="21">
                  <c:v>385.67883656001305</c:v>
                </c:pt>
                <c:pt idx="22">
                  <c:v>380.24793707863535</c:v>
                </c:pt>
                <c:pt idx="23">
                  <c:v>388.19412010968495</c:v>
                </c:pt>
                <c:pt idx="24">
                  <c:v>428.46021326744977</c:v>
                </c:pt>
                <c:pt idx="25">
                  <c:v>489.80139703070898</c:v>
                </c:pt>
                <c:pt idx="26">
                  <c:v>475.32829134070067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329-4859-937A-6DDCE1CE3021}"/>
            </c:ext>
          </c:extLst>
        </c:ser>
        <c:ser>
          <c:idx val="2"/>
          <c:order val="2"/>
          <c:tx>
            <c:strRef>
              <c:f>'VBP completo'!$A$34</c:f>
              <c:strCache>
                <c:ptCount val="1"/>
                <c:pt idx="0">
                  <c:v>VBP TOTAL</c:v>
                </c:pt>
              </c:strCache>
            </c:strRef>
          </c:tx>
          <c:spPr>
            <a:ln w="50800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25400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ysClr val="windowText" lastClr="000000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'VBP completo'!$M$3:$AM$3</c:f>
              <c:strCache>
                <c:ptCount val="27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  <c:pt idx="26">
                  <c:v>2026**</c:v>
                </c:pt>
              </c:strCache>
            </c:strRef>
          </c:cat>
          <c:val>
            <c:numRef>
              <c:f>'VBP completo'!$M$34:$AM$34</c:f>
              <c:numCache>
                <c:formatCode>#,##0.00</c:formatCode>
                <c:ptCount val="27"/>
                <c:pt idx="0">
                  <c:v>416.22205685390065</c:v>
                </c:pt>
                <c:pt idx="1">
                  <c:v>456.27788252585975</c:v>
                </c:pt>
                <c:pt idx="2">
                  <c:v>526.45140794551526</c:v>
                </c:pt>
                <c:pt idx="3">
                  <c:v>587.80650645174342</c:v>
                </c:pt>
                <c:pt idx="4">
                  <c:v>598.63054224525513</c:v>
                </c:pt>
                <c:pt idx="5">
                  <c:v>544.90620566971256</c:v>
                </c:pt>
                <c:pt idx="6">
                  <c:v>541.5794506492573</c:v>
                </c:pt>
                <c:pt idx="7">
                  <c:v>619.37869502289209</c:v>
                </c:pt>
                <c:pt idx="8">
                  <c:v>704.99414231295088</c:v>
                </c:pt>
                <c:pt idx="9">
                  <c:v>678.4897825274553</c:v>
                </c:pt>
                <c:pt idx="10">
                  <c:v>704.75288117671789</c:v>
                </c:pt>
                <c:pt idx="11">
                  <c:v>793.08867205413094</c:v>
                </c:pt>
                <c:pt idx="12">
                  <c:v>827.23366034520768</c:v>
                </c:pt>
                <c:pt idx="13">
                  <c:v>907.36545331215007</c:v>
                </c:pt>
                <c:pt idx="14">
                  <c:v>938.33280095011412</c:v>
                </c:pt>
                <c:pt idx="15">
                  <c:v>946.72188241414437</c:v>
                </c:pt>
                <c:pt idx="16">
                  <c:v>943.12754282534706</c:v>
                </c:pt>
                <c:pt idx="17">
                  <c:v>949.75728638903536</c:v>
                </c:pt>
                <c:pt idx="18">
                  <c:v>918.09018263122255</c:v>
                </c:pt>
                <c:pt idx="19">
                  <c:v>938.11207615480885</c:v>
                </c:pt>
                <c:pt idx="20">
                  <c:v>1105.3709074815174</c:v>
                </c:pt>
                <c:pt idx="21">
                  <c:v>1215.906717756503</c:v>
                </c:pt>
                <c:pt idx="22">
                  <c:v>1215.1695740210148</c:v>
                </c:pt>
                <c:pt idx="23">
                  <c:v>1257.0622923466458</c:v>
                </c:pt>
                <c:pt idx="24">
                  <c:v>1271.2787899194614</c:v>
                </c:pt>
                <c:pt idx="25">
                  <c:v>1422.1431295458463</c:v>
                </c:pt>
                <c:pt idx="26">
                  <c:v>1370.6396625359575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329-4859-937A-6DDCE1CE302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28912368"/>
        <c:axId val="928912760"/>
      </c:lineChart>
      <c:catAx>
        <c:axId val="9289123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r>
                  <a:rPr lang="pt-BR"/>
                  <a:t>Fonte: CGAEC/DAEP/SPA/MAPA.</a:t>
                </a:r>
              </a:p>
            </c:rich>
          </c:tx>
          <c:layout>
            <c:manualLayout>
              <c:xMode val="edge"/>
              <c:yMode val="edge"/>
              <c:x val="4.9784893140982951E-2"/>
              <c:y val="0.92614380509243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pt-BR"/>
          </a:p>
        </c:txPr>
        <c:crossAx val="928912760"/>
        <c:crosses val="autoZero"/>
        <c:auto val="1"/>
        <c:lblAlgn val="ctr"/>
        <c:lblOffset val="100"/>
        <c:noMultiLvlLbl val="0"/>
      </c:catAx>
      <c:valAx>
        <c:axId val="928912760"/>
        <c:scaling>
          <c:orientation val="minMax"/>
          <c:max val="1600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r>
                  <a:rPr lang="pt-BR"/>
                  <a:t>Bilhões R$*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</c:title>
        <c:numFmt formatCode="#,##0.00" sourceLinked="1"/>
        <c:majorTickMark val="out"/>
        <c:minorTickMark val="none"/>
        <c:tickLblPos val="nextTo"/>
        <c:crossAx val="928912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pt-BR"/>
          </a:p>
        </c:txPr>
      </c:legendEntry>
      <c:layout>
        <c:manualLayout>
          <c:xMode val="edge"/>
          <c:yMode val="edge"/>
          <c:x val="7.2137781504667972E-2"/>
          <c:y val="0.14782306132754119"/>
          <c:w val="0.55316944641614618"/>
          <c:h val="7.15952555328903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Segoe UI" panose="020B0502040204020203" pitchFamily="34" charset="0"/>
          <a:cs typeface="Segoe UI" panose="020B0502040204020203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pt-BR"/>
              <a:t>VBP Pecuária - por produto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4.8895140637784648E-2"/>
          <c:y val="0.14510777465067151"/>
          <c:w val="0.91829519364923928"/>
          <c:h val="0.65311181827224007"/>
        </c:manualLayout>
      </c:layout>
      <c:lineChart>
        <c:grouping val="standard"/>
        <c:varyColors val="0"/>
        <c:ser>
          <c:idx val="0"/>
          <c:order val="0"/>
          <c:tx>
            <c:strRef>
              <c:f>'VBP completo'!$A$28</c:f>
              <c:strCache>
                <c:ptCount val="1"/>
                <c:pt idx="0">
                  <c:v>Bovinos</c:v>
                </c:pt>
              </c:strCache>
            </c:strRef>
          </c:tx>
          <c:spPr>
            <a:ln w="50800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squar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25400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ysClr val="windowText" lastClr="000000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'VBP completo'!$M$3:$AM$3</c:f>
              <c:strCache>
                <c:ptCount val="27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  <c:pt idx="26">
                  <c:v>2026**</c:v>
                </c:pt>
              </c:strCache>
            </c:strRef>
          </c:cat>
          <c:val>
            <c:numRef>
              <c:f>'VBP completo'!$M$28:$AM$28</c:f>
              <c:numCache>
                <c:formatCode>#,##0.00</c:formatCode>
                <c:ptCount val="27"/>
                <c:pt idx="0">
                  <c:v>60.129986305394759</c:v>
                </c:pt>
                <c:pt idx="1">
                  <c:v>66.468093279969921</c:v>
                </c:pt>
                <c:pt idx="2">
                  <c:v>70.535204751500842</c:v>
                </c:pt>
                <c:pt idx="3">
                  <c:v>71.188393916858502</c:v>
                </c:pt>
                <c:pt idx="4">
                  <c:v>80.095347548625043</c:v>
                </c:pt>
                <c:pt idx="5">
                  <c:v>77.761131967688556</c:v>
                </c:pt>
                <c:pt idx="6">
                  <c:v>80.735199776498206</c:v>
                </c:pt>
                <c:pt idx="7">
                  <c:v>87.740505912911573</c:v>
                </c:pt>
                <c:pt idx="8">
                  <c:v>96.875838782232805</c:v>
                </c:pt>
                <c:pt idx="9">
                  <c:v>95.865406183645234</c:v>
                </c:pt>
                <c:pt idx="10">
                  <c:v>101.07099432420286</c:v>
                </c:pt>
                <c:pt idx="11">
                  <c:v>106.8477932638086</c:v>
                </c:pt>
                <c:pt idx="12">
                  <c:v>108.44037988755791</c:v>
                </c:pt>
                <c:pt idx="13">
                  <c:v>117.51101632112892</c:v>
                </c:pt>
                <c:pt idx="14">
                  <c:v>134.9987513240676</c:v>
                </c:pt>
                <c:pt idx="15">
                  <c:v>139.64488893775416</c:v>
                </c:pt>
                <c:pt idx="16">
                  <c:v>130.7141978418191</c:v>
                </c:pt>
                <c:pt idx="17">
                  <c:v>128.27340592260884</c:v>
                </c:pt>
                <c:pt idx="18">
                  <c:v>129.1329908707028</c:v>
                </c:pt>
                <c:pt idx="19">
                  <c:v>138.27304942164628</c:v>
                </c:pt>
                <c:pt idx="20">
                  <c:v>158.60775389997289</c:v>
                </c:pt>
                <c:pt idx="21">
                  <c:v>161.7381000369603</c:v>
                </c:pt>
                <c:pt idx="22">
                  <c:v>157.82238390722458</c:v>
                </c:pt>
                <c:pt idx="23">
                  <c:v>150.67380511686315</c:v>
                </c:pt>
                <c:pt idx="24">
                  <c:v>170.49608358468811</c:v>
                </c:pt>
                <c:pt idx="25">
                  <c:v>211.90589064306468</c:v>
                </c:pt>
                <c:pt idx="26">
                  <c:v>218.70005266668539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AD-4C04-8966-6DBDA0898BCD}"/>
            </c:ext>
          </c:extLst>
        </c:ser>
        <c:ser>
          <c:idx val="1"/>
          <c:order val="1"/>
          <c:tx>
            <c:strRef>
              <c:f>'VBP completo'!$A$29</c:f>
              <c:strCache>
                <c:ptCount val="1"/>
                <c:pt idx="0">
                  <c:v>Suínos</c:v>
                </c:pt>
              </c:strCache>
            </c:strRef>
          </c:tx>
          <c:spPr>
            <a:ln w="50800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25400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chemeClr val="tx1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'VBP completo'!$M$3:$AM$3</c:f>
              <c:strCache>
                <c:ptCount val="27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  <c:pt idx="26">
                  <c:v>2026**</c:v>
                </c:pt>
              </c:strCache>
            </c:strRef>
          </c:cat>
          <c:val>
            <c:numRef>
              <c:f>'VBP completo'!$M$29:$AM$29</c:f>
              <c:numCache>
                <c:formatCode>#,##0.00</c:formatCode>
                <c:ptCount val="27"/>
                <c:pt idx="0">
                  <c:v>10.887453382175512</c:v>
                </c:pt>
                <c:pt idx="1">
                  <c:v>13.061923715546989</c:v>
                </c:pt>
                <c:pt idx="2">
                  <c:v>13.387421542109365</c:v>
                </c:pt>
                <c:pt idx="3">
                  <c:v>14.307644030893936</c:v>
                </c:pt>
                <c:pt idx="4">
                  <c:v>16.08628263345776</c:v>
                </c:pt>
                <c:pt idx="5">
                  <c:v>18.65062524571692</c:v>
                </c:pt>
                <c:pt idx="6">
                  <c:v>16.405908742628952</c:v>
                </c:pt>
                <c:pt idx="7">
                  <c:v>17.54298596950008</c:v>
                </c:pt>
                <c:pt idx="8">
                  <c:v>20.772687763362097</c:v>
                </c:pt>
                <c:pt idx="9">
                  <c:v>20.998015557539993</c:v>
                </c:pt>
                <c:pt idx="10">
                  <c:v>23.099922418028466</c:v>
                </c:pt>
                <c:pt idx="11">
                  <c:v>23.136124902579041</c:v>
                </c:pt>
                <c:pt idx="12">
                  <c:v>21.723651343256908</c:v>
                </c:pt>
                <c:pt idx="13">
                  <c:v>25.152701224104341</c:v>
                </c:pt>
                <c:pt idx="14">
                  <c:v>26.418426036535919</c:v>
                </c:pt>
                <c:pt idx="15">
                  <c:v>28.233107789675739</c:v>
                </c:pt>
                <c:pt idx="16">
                  <c:v>26.055052252422261</c:v>
                </c:pt>
                <c:pt idx="17">
                  <c:v>38.84069226457904</c:v>
                </c:pt>
                <c:pt idx="18">
                  <c:v>30.90389580451307</c:v>
                </c:pt>
                <c:pt idx="19">
                  <c:v>38.257306254392212</c:v>
                </c:pt>
                <c:pt idx="20">
                  <c:v>51.434003079812769</c:v>
                </c:pt>
                <c:pt idx="21">
                  <c:v>47.783111023652189</c:v>
                </c:pt>
                <c:pt idx="22">
                  <c:v>41.692397842071578</c:v>
                </c:pt>
                <c:pt idx="23">
                  <c:v>47.70113829437809</c:v>
                </c:pt>
                <c:pt idx="24">
                  <c:v>55.94567123646145</c:v>
                </c:pt>
                <c:pt idx="25">
                  <c:v>63.14991388213312</c:v>
                </c:pt>
                <c:pt idx="26">
                  <c:v>60.348533394317464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8AD-4C04-8966-6DBDA0898BCD}"/>
            </c:ext>
          </c:extLst>
        </c:ser>
        <c:ser>
          <c:idx val="2"/>
          <c:order val="2"/>
          <c:tx>
            <c:strRef>
              <c:f>'VBP completo'!$A$30</c:f>
              <c:strCache>
                <c:ptCount val="1"/>
                <c:pt idx="0">
                  <c:v>Frango</c:v>
                </c:pt>
              </c:strCache>
            </c:strRef>
          </c:tx>
          <c:spPr>
            <a:ln w="50800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diamond"/>
            <c:size val="6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25400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ysClr val="windowText" lastClr="000000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'VBP completo'!$M$3:$AM$3</c:f>
              <c:strCache>
                <c:ptCount val="27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  <c:pt idx="26">
                  <c:v>2026**</c:v>
                </c:pt>
              </c:strCache>
            </c:strRef>
          </c:cat>
          <c:val>
            <c:numRef>
              <c:f>'VBP completo'!$M$30:$AM$30</c:f>
              <c:numCache>
                <c:formatCode>#,##0.00</c:formatCode>
                <c:ptCount val="27"/>
                <c:pt idx="0">
                  <c:v>30.035383974479391</c:v>
                </c:pt>
                <c:pt idx="1">
                  <c:v>31.34540292366805</c:v>
                </c:pt>
                <c:pt idx="2">
                  <c:v>35.595245354240966</c:v>
                </c:pt>
                <c:pt idx="3">
                  <c:v>40.522094963676963</c:v>
                </c:pt>
                <c:pt idx="4">
                  <c:v>43.055506382314093</c:v>
                </c:pt>
                <c:pt idx="5">
                  <c:v>50.959331007119758</c:v>
                </c:pt>
                <c:pt idx="6">
                  <c:v>46.620993564874247</c:v>
                </c:pt>
                <c:pt idx="7">
                  <c:v>62.769323138435922</c:v>
                </c:pt>
                <c:pt idx="8">
                  <c:v>70.721581287919165</c:v>
                </c:pt>
                <c:pt idx="9">
                  <c:v>67.60233969195852</c:v>
                </c:pt>
                <c:pt idx="10">
                  <c:v>66.387231608049802</c:v>
                </c:pt>
                <c:pt idx="11">
                  <c:v>71.408064963130826</c:v>
                </c:pt>
                <c:pt idx="12">
                  <c:v>71.911204163938592</c:v>
                </c:pt>
                <c:pt idx="13">
                  <c:v>79.780193771397137</c:v>
                </c:pt>
                <c:pt idx="14">
                  <c:v>77.330747155643877</c:v>
                </c:pt>
                <c:pt idx="15">
                  <c:v>82.315188925721998</c:v>
                </c:pt>
                <c:pt idx="16">
                  <c:v>84.012557446191678</c:v>
                </c:pt>
                <c:pt idx="17">
                  <c:v>76.414301697416661</c:v>
                </c:pt>
                <c:pt idx="18">
                  <c:v>75.968907329606637</c:v>
                </c:pt>
                <c:pt idx="19">
                  <c:v>88.531384095627615</c:v>
                </c:pt>
                <c:pt idx="20">
                  <c:v>87.323335025078521</c:v>
                </c:pt>
                <c:pt idx="21">
                  <c:v>101.91395045677832</c:v>
                </c:pt>
                <c:pt idx="22">
                  <c:v>99.332467365306798</c:v>
                </c:pt>
                <c:pt idx="23">
                  <c:v>95.982288950116256</c:v>
                </c:pt>
                <c:pt idx="24">
                  <c:v>106.82232663328939</c:v>
                </c:pt>
                <c:pt idx="25">
                  <c:v>112.67303437327176</c:v>
                </c:pt>
                <c:pt idx="26">
                  <c:v>104.30397492192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18AD-4C04-8966-6DBDA0898BCD}"/>
            </c:ext>
          </c:extLst>
        </c:ser>
        <c:ser>
          <c:idx val="3"/>
          <c:order val="3"/>
          <c:tx>
            <c:strRef>
              <c:f>'VBP completo'!$A$31</c:f>
              <c:strCache>
                <c:ptCount val="1"/>
                <c:pt idx="0">
                  <c:v>Leite</c:v>
                </c:pt>
              </c:strCache>
            </c:strRef>
          </c:tx>
          <c:spPr>
            <a:ln w="50800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triangle"/>
            <c:size val="6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25400">
                <a:solidFill>
                  <a:schemeClr val="accent4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dLbls>
            <c:dLbl>
              <c:idx val="0"/>
              <c:layout>
                <c:manualLayout>
                  <c:x val="-2.861423698555899E-2"/>
                  <c:y val="-2.19506215569207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8AD-4C04-8966-6DBDA0898BCD}"/>
                </c:ext>
              </c:extLst>
            </c:dLbl>
            <c:dLbl>
              <c:idx val="1"/>
              <c:layout>
                <c:manualLayout>
                  <c:x val="-2.6927327403912567E-2"/>
                  <c:y val="-2.927662888292809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8AD-4C04-8966-6DBDA0898BCD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ysClr val="windowText" lastClr="000000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'VBP completo'!$M$3:$AM$3</c:f>
              <c:strCache>
                <c:ptCount val="27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  <c:pt idx="26">
                  <c:v>2026**</c:v>
                </c:pt>
              </c:strCache>
            </c:strRef>
          </c:cat>
          <c:val>
            <c:numRef>
              <c:f>'VBP completo'!$M$31:$AM$31</c:f>
              <c:numCache>
                <c:formatCode>#,##0.00</c:formatCode>
                <c:ptCount val="27"/>
                <c:pt idx="0">
                  <c:v>23.750707530521208</c:v>
                </c:pt>
                <c:pt idx="1">
                  <c:v>22.854861195013619</c:v>
                </c:pt>
                <c:pt idx="2">
                  <c:v>23.142390459296283</c:v>
                </c:pt>
                <c:pt idx="3">
                  <c:v>25.484774091857048</c:v>
                </c:pt>
                <c:pt idx="4">
                  <c:v>26.046676728942266</c:v>
                </c:pt>
                <c:pt idx="5">
                  <c:v>29.295135203293995</c:v>
                </c:pt>
                <c:pt idx="6">
                  <c:v>27.981882631539744</c:v>
                </c:pt>
                <c:pt idx="7">
                  <c:v>34.399534383442322</c:v>
                </c:pt>
                <c:pt idx="8">
                  <c:v>38.697541114517634</c:v>
                </c:pt>
                <c:pt idx="9">
                  <c:v>39.452568852822694</c:v>
                </c:pt>
                <c:pt idx="10">
                  <c:v>43.569821944836718</c:v>
                </c:pt>
                <c:pt idx="11">
                  <c:v>44.915328158163625</c:v>
                </c:pt>
                <c:pt idx="12">
                  <c:v>46.934782485613191</c:v>
                </c:pt>
                <c:pt idx="13">
                  <c:v>54.312820296148303</c:v>
                </c:pt>
                <c:pt idx="14">
                  <c:v>58.650592435569884</c:v>
                </c:pt>
                <c:pt idx="15">
                  <c:v>52.942185460558363</c:v>
                </c:pt>
                <c:pt idx="16">
                  <c:v>49.124279831259116</c:v>
                </c:pt>
                <c:pt idx="17">
                  <c:v>54.734560436791995</c:v>
                </c:pt>
                <c:pt idx="18">
                  <c:v>53.92097952948226</c:v>
                </c:pt>
                <c:pt idx="19">
                  <c:v>53.421278897354668</c:v>
                </c:pt>
                <c:pt idx="20">
                  <c:v>54.924513574835252</c:v>
                </c:pt>
                <c:pt idx="21">
                  <c:v>54.98509493489837</c:v>
                </c:pt>
                <c:pt idx="22">
                  <c:v>60.032683440823014</c:v>
                </c:pt>
                <c:pt idx="23">
                  <c:v>67.506924696144125</c:v>
                </c:pt>
                <c:pt idx="24">
                  <c:v>68.406441810614155</c:v>
                </c:pt>
                <c:pt idx="25">
                  <c:v>72.799315206319505</c:v>
                </c:pt>
                <c:pt idx="26">
                  <c:v>69.854337334444438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8AD-4C04-8966-6DBDA0898BCD}"/>
            </c:ext>
          </c:extLst>
        </c:ser>
        <c:ser>
          <c:idx val="4"/>
          <c:order val="4"/>
          <c:tx>
            <c:strRef>
              <c:f>'VBP completo'!$A$32</c:f>
              <c:strCache>
                <c:ptCount val="1"/>
                <c:pt idx="0">
                  <c:v>Ovos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dLbl>
              <c:idx val="0"/>
              <c:layout>
                <c:manualLayout>
                  <c:x val="-2.5611537930228349E-2"/>
                  <c:y val="2.744512705142626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18AD-4C04-8966-6DBDA0898BCD}"/>
                </c:ext>
              </c:extLst>
            </c:dLbl>
            <c:dLbl>
              <c:idx val="1"/>
              <c:layout>
                <c:manualLayout>
                  <c:x val="-2.3924628348581934E-2"/>
                  <c:y val="2.744512705142626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18AD-4C04-8966-6DBDA0898BCD}"/>
                </c:ext>
              </c:extLst>
            </c:dLbl>
            <c:dLbl>
              <c:idx val="2"/>
              <c:layout>
                <c:manualLayout>
                  <c:x val="-2.3924628348581934E-2"/>
                  <c:y val="2.744512705142626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18AD-4C04-8966-6DBDA0898BCD}"/>
                </c:ext>
              </c:extLst>
            </c:dLbl>
            <c:dLbl>
              <c:idx val="3"/>
              <c:layout>
                <c:manualLayout>
                  <c:x val="-2.3924628348581934E-2"/>
                  <c:y val="3.110813071442992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18AD-4C04-8966-6DBDA0898BCD}"/>
                </c:ext>
              </c:extLst>
            </c:dLbl>
            <c:dLbl>
              <c:idx val="4"/>
              <c:layout>
                <c:manualLayout>
                  <c:x val="-3.0009918710900054E-2"/>
                  <c:y val="2.088738805441618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4.4982185108634817E-2"/>
                      <c:h val="5.616626212810888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1-18AD-4C04-8966-6DBDA0898BCD}"/>
                </c:ext>
              </c:extLst>
            </c:dLbl>
            <c:dLbl>
              <c:idx val="5"/>
              <c:layout>
                <c:manualLayout>
                  <c:x val="-2.5611537930228419E-2"/>
                  <c:y val="2.744512705142626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18AD-4C04-8966-6DBDA0898BCD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ysClr val="windowText" lastClr="000000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'VBP completo'!$M$3:$AM$3</c:f>
              <c:strCache>
                <c:ptCount val="27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  <c:pt idx="26">
                  <c:v>2026**</c:v>
                </c:pt>
              </c:strCache>
            </c:strRef>
          </c:cat>
          <c:val>
            <c:numRef>
              <c:f>'VBP completo'!$M$32:$AM$32</c:f>
              <c:numCache>
                <c:formatCode>#,##0.00</c:formatCode>
                <c:ptCount val="27"/>
                <c:pt idx="0">
                  <c:v>9.2863790518861737</c:v>
                </c:pt>
                <c:pt idx="1">
                  <c:v>9.1509635686350759</c:v>
                </c:pt>
                <c:pt idx="2">
                  <c:v>9.4280429968640149</c:v>
                </c:pt>
                <c:pt idx="3">
                  <c:v>11.404337190615399</c:v>
                </c:pt>
                <c:pt idx="4">
                  <c:v>11.558426965058596</c:v>
                </c:pt>
                <c:pt idx="5">
                  <c:v>11.637001801614616</c:v>
                </c:pt>
                <c:pt idx="6">
                  <c:v>11.053975818661462</c:v>
                </c:pt>
                <c:pt idx="7">
                  <c:v>11.748041788742265</c:v>
                </c:pt>
                <c:pt idx="8">
                  <c:v>12.681754650029067</c:v>
                </c:pt>
                <c:pt idx="9">
                  <c:v>12.650570239691911</c:v>
                </c:pt>
                <c:pt idx="10">
                  <c:v>12.304115874350897</c:v>
                </c:pt>
                <c:pt idx="11">
                  <c:v>14.498413839597061</c:v>
                </c:pt>
                <c:pt idx="12">
                  <c:v>16.995692152623707</c:v>
                </c:pt>
                <c:pt idx="13">
                  <c:v>19.989128391741687</c:v>
                </c:pt>
                <c:pt idx="14">
                  <c:v>22.458569701470342</c:v>
                </c:pt>
                <c:pt idx="15">
                  <c:v>22.866736625157369</c:v>
                </c:pt>
                <c:pt idx="16">
                  <c:v>24.652529868988825</c:v>
                </c:pt>
                <c:pt idx="17">
                  <c:v>20.315665596432211</c:v>
                </c:pt>
                <c:pt idx="18">
                  <c:v>18.480239420791843</c:v>
                </c:pt>
                <c:pt idx="19">
                  <c:v>18.713534536798832</c:v>
                </c:pt>
                <c:pt idx="20">
                  <c:v>20.55118730917264</c:v>
                </c:pt>
                <c:pt idx="21">
                  <c:v>19.258580107723855</c:v>
                </c:pt>
                <c:pt idx="22">
                  <c:v>21.36800452320939</c:v>
                </c:pt>
                <c:pt idx="23">
                  <c:v>26.32996305218332</c:v>
                </c:pt>
                <c:pt idx="24">
                  <c:v>26.789690002396629</c:v>
                </c:pt>
                <c:pt idx="25">
                  <c:v>29.273242925919877</c:v>
                </c:pt>
                <c:pt idx="26">
                  <c:v>22.121393023333333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18AD-4C04-8966-6DBDA0898BC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28914328"/>
        <c:axId val="923820376"/>
      </c:lineChart>
      <c:catAx>
        <c:axId val="9289143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r>
                  <a:rPr lang="pt-BR"/>
                  <a:t>Fonte: CGAEC/DAEP/SPA/MAPA.</a:t>
                </a:r>
              </a:p>
            </c:rich>
          </c:tx>
          <c:layout>
            <c:manualLayout>
              <c:xMode val="edge"/>
              <c:yMode val="edge"/>
              <c:x val="5.2369377410819602E-2"/>
              <c:y val="0.9344440598771307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pt-BR"/>
          </a:p>
        </c:txPr>
        <c:crossAx val="923820376"/>
        <c:crosses val="autoZero"/>
        <c:auto val="1"/>
        <c:lblAlgn val="ctr"/>
        <c:lblOffset val="100"/>
        <c:noMultiLvlLbl val="0"/>
      </c:catAx>
      <c:valAx>
        <c:axId val="923820376"/>
        <c:scaling>
          <c:orientation val="minMax"/>
          <c:max val="250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r>
                  <a:rPr lang="en-US"/>
                  <a:t>Bilhões R$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</c:title>
        <c:numFmt formatCode="#,##0.00" sourceLinked="1"/>
        <c:majorTickMark val="out"/>
        <c:minorTickMark val="none"/>
        <c:tickLblPos val="nextTo"/>
        <c:crossAx val="928914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7495962043206135E-2"/>
          <c:y val="0.15796660032880505"/>
          <c:w val="0.52955585131818039"/>
          <c:h val="7.068010729428050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Segoe UI" panose="020B0502040204020203" pitchFamily="34" charset="0"/>
          <a:cs typeface="Segoe UI" panose="020B0502040204020203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pt-BR" sz="1600" b="1" i="0" cap="all" baseline="0">
                <a:effectLst/>
              </a:rPr>
              <a:t>Indice do Produto de Lavouras</a:t>
            </a:r>
            <a:endParaRPr lang="pt-BR" sz="1600">
              <a:effectLst/>
            </a:endParaRPr>
          </a:p>
        </c:rich>
      </c:tx>
      <c:layout>
        <c:manualLayout>
          <c:xMode val="edge"/>
          <c:yMode val="edge"/>
          <c:x val="0.18260976207996077"/>
          <c:y val="5.789909015715467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3219076092309653"/>
          <c:y val="0.17359404205987899"/>
          <c:w val="0.84082861606979042"/>
          <c:h val="0.61361345030382364"/>
        </c:manualLayout>
      </c:layout>
      <c:lineChart>
        <c:grouping val="standard"/>
        <c:varyColors val="0"/>
        <c:ser>
          <c:idx val="0"/>
          <c:order val="0"/>
          <c:tx>
            <c:strRef>
              <c:f>Laspeyres!$B$4</c:f>
              <c:strCache>
                <c:ptCount val="1"/>
                <c:pt idx="0">
                  <c:v>Indice de Prod. base 1990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5"/>
              </a:outerShdw>
            </a:effectLst>
          </c:spPr>
          <c:marker>
            <c:symbol val="none"/>
          </c:marker>
          <c:dLbls>
            <c:dLbl>
              <c:idx val="0"/>
              <c:layout>
                <c:manualLayout>
                  <c:x val="-4.2206423976252426E-2"/>
                  <c:y val="-5.924301335782166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70C-45E2-8314-33FD04B4CEFF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70C-45E2-8314-33FD04B4CEFF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70C-45E2-8314-33FD04B4CEFF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70C-45E2-8314-33FD04B4CEFF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70C-45E2-8314-33FD04B4CEFF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70C-45E2-8314-33FD04B4CEFF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70C-45E2-8314-33FD04B4CEFF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70C-45E2-8314-33FD04B4CEFF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70C-45E2-8314-33FD04B4CEFF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70C-45E2-8314-33FD04B4CEFF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870C-45E2-8314-33FD04B4CEFF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870C-45E2-8314-33FD04B4CEFF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870C-45E2-8314-33FD04B4CEFF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870C-45E2-8314-33FD04B4CEFF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870C-45E2-8314-33FD04B4CEFF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870C-45E2-8314-33FD04B4CEFF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870C-45E2-8314-33FD04B4CEFF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870C-45E2-8314-33FD04B4CEFF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870C-45E2-8314-33FD04B4CEFF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870C-45E2-8314-33FD04B4CEFF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870C-45E2-8314-33FD04B4CEFF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870C-45E2-8314-33FD04B4CEFF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870C-45E2-8314-33FD04B4CEFF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870C-45E2-8314-33FD04B4CEFF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870C-45E2-8314-33FD04B4CEFF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870C-45E2-8314-33FD04B4CEFF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870C-45E2-8314-33FD04B4CEFF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870C-45E2-8314-33FD04B4CEFF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E7C-4338-BF65-7805A681C6F0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B21-4DEE-868E-379CC6E241DD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E04-491D-BBF4-2AB38BB99FD8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E04-491D-BBF4-2AB38BB99FD8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318-4CAA-8FFC-D699DE7987CA}"/>
                </c:ext>
              </c:extLst>
            </c:dLbl>
            <c:dLbl>
              <c:idx val="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318-4CAA-8FFC-D699DE7987CA}"/>
                </c:ext>
              </c:extLst>
            </c:dLbl>
            <c:dLbl>
              <c:idx val="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3B6-4233-91C4-7A82EFE06340}"/>
                </c:ext>
              </c:extLst>
            </c:dLbl>
            <c:dLbl>
              <c:idx val="36"/>
              <c:layout>
                <c:manualLayout>
                  <c:x val="-5.0374346547539346E-3"/>
                  <c:y val="-6.135311492625893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E35-4F82-B3F2-BB837B9521F3}"/>
                </c:ext>
              </c:extLst>
            </c:dLbl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Laspeyres!$A$5:$A$41</c:f>
              <c:numCache>
                <c:formatCode>General</c:formatCode>
                <c:ptCount val="37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  <c:pt idx="36">
                  <c:v>2026</c:v>
                </c:pt>
              </c:numCache>
            </c:numRef>
          </c:cat>
          <c:val>
            <c:numRef>
              <c:f>Laspeyres!$B$5:$B$41</c:f>
              <c:numCache>
                <c:formatCode>#,##0.00</c:formatCode>
                <c:ptCount val="37"/>
                <c:pt idx="0">
                  <c:v>100</c:v>
                </c:pt>
                <c:pt idx="1">
                  <c:v>100.27530507723812</c:v>
                </c:pt>
                <c:pt idx="2">
                  <c:v>106.20337614689583</c:v>
                </c:pt>
                <c:pt idx="3">
                  <c:v>104.57013107177708</c:v>
                </c:pt>
                <c:pt idx="4">
                  <c:v>114.16378114998278</c:v>
                </c:pt>
                <c:pt idx="5">
                  <c:v>115.0243365219558</c:v>
                </c:pt>
                <c:pt idx="6">
                  <c:v>106.55186735424465</c:v>
                </c:pt>
                <c:pt idx="7">
                  <c:v>114.03726174297621</c:v>
                </c:pt>
                <c:pt idx="8">
                  <c:v>117.31915303619954</c:v>
                </c:pt>
                <c:pt idx="9">
                  <c:v>124.73428473228039</c:v>
                </c:pt>
                <c:pt idx="10">
                  <c:v>128.2930427050309</c:v>
                </c:pt>
                <c:pt idx="11">
                  <c:v>136.97467822597082</c:v>
                </c:pt>
                <c:pt idx="12">
                  <c:v>139.51013982605832</c:v>
                </c:pt>
                <c:pt idx="13">
                  <c:v>153.86772745036896</c:v>
                </c:pt>
                <c:pt idx="14">
                  <c:v>159.64137908018984</c:v>
                </c:pt>
                <c:pt idx="15">
                  <c:v>157.13592812127436</c:v>
                </c:pt>
                <c:pt idx="16">
                  <c:v>164.85795860548876</c:v>
                </c:pt>
                <c:pt idx="17">
                  <c:v>180.78064006776765</c:v>
                </c:pt>
                <c:pt idx="18">
                  <c:v>196.90957977720942</c:v>
                </c:pt>
                <c:pt idx="19">
                  <c:v>190.30947676981953</c:v>
                </c:pt>
                <c:pt idx="20">
                  <c:v>203.58132140625628</c:v>
                </c:pt>
                <c:pt idx="21">
                  <c:v>217.04060018402259</c:v>
                </c:pt>
                <c:pt idx="22">
                  <c:v>210.93205316011404</c:v>
                </c:pt>
                <c:pt idx="23">
                  <c:v>228.00911847668428</c:v>
                </c:pt>
                <c:pt idx="24">
                  <c:v>232.56171197227314</c:v>
                </c:pt>
                <c:pt idx="25">
                  <c:v>242.31800918291268</c:v>
                </c:pt>
                <c:pt idx="26">
                  <c:v>228.23864268484809</c:v>
                </c:pt>
                <c:pt idx="27">
                  <c:v>253.8258521235316</c:v>
                </c:pt>
                <c:pt idx="28">
                  <c:v>245.13449547955108</c:v>
                </c:pt>
                <c:pt idx="29">
                  <c:v>248.61895382494558</c:v>
                </c:pt>
                <c:pt idx="30">
                  <c:v>258.84777688038417</c:v>
                </c:pt>
                <c:pt idx="31">
                  <c:v>254.98782385273259</c:v>
                </c:pt>
                <c:pt idx="32">
                  <c:v>256.90396455429726</c:v>
                </c:pt>
                <c:pt idx="33">
                  <c:v>298.26925574804238</c:v>
                </c:pt>
                <c:pt idx="34">
                  <c:v>285.79880772041628</c:v>
                </c:pt>
                <c:pt idx="35">
                  <c:v>320.77718187152925</c:v>
                </c:pt>
                <c:pt idx="36">
                  <c:v>320.92003379051766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870C-45E2-8314-33FD04B4CEF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923821552"/>
        <c:axId val="923819200"/>
      </c:lineChart>
      <c:catAx>
        <c:axId val="9238215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0" i="0" baseline="0">
                    <a:effectLst/>
                  </a:rPr>
                  <a:t>Fonte:  IBGE. Elaboração: CGAEC/DAEP/SPA/MAPA.</a:t>
                </a:r>
                <a:endParaRPr lang="pt-BR" sz="1000" b="0">
                  <a:effectLst/>
                </a:endParaRPr>
              </a:p>
            </c:rich>
          </c:tx>
          <c:layout>
            <c:manualLayout>
              <c:xMode val="edge"/>
              <c:yMode val="edge"/>
              <c:x val="0.10462861568352522"/>
              <c:y val="0.9214226633581472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23819200"/>
        <c:crosses val="autoZero"/>
        <c:auto val="1"/>
        <c:lblAlgn val="ctr"/>
        <c:lblOffset val="100"/>
        <c:tickLblSkip val="1"/>
        <c:noMultiLvlLbl val="0"/>
      </c:catAx>
      <c:valAx>
        <c:axId val="9238192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%</a:t>
                </a:r>
              </a:p>
            </c:rich>
          </c:tx>
          <c:layout>
            <c:manualLayout>
              <c:xMode val="edge"/>
              <c:yMode val="edge"/>
              <c:x val="2.0554329163600685E-2"/>
              <c:y val="0.4585643761031111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23821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5"/>
    </a:solidFill>
    <a:ln w="9525" cap="flat" cmpd="sng" algn="ctr">
      <a:solidFill>
        <a:schemeClr val="accent5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pt-BR" b="1"/>
              <a:t>VBP AGROPECUÁRIA - BRASIL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5.8231408573928257E-2"/>
          <c:y val="0.2110080371138878"/>
          <c:w val="0.8962055789537936"/>
          <c:h val="0.7064223537122338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'VBP completo'!$AL$3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rgbClr val="FF6600"/>
            </a:solidFill>
            <a:ln>
              <a:solidFill>
                <a:srgbClr val="FF66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('VBP completo'!$A$27,'VBP completo'!$A$33:$A$34)</c:f>
              <c:strCache>
                <c:ptCount val="3"/>
                <c:pt idx="0">
                  <c:v>TOTAL LAVOURAS</c:v>
                </c:pt>
                <c:pt idx="1">
                  <c:v>TOTAL PECUÁRIA</c:v>
                </c:pt>
                <c:pt idx="2">
                  <c:v>VBP TOTAL</c:v>
                </c:pt>
              </c:strCache>
            </c:strRef>
          </c:cat>
          <c:val>
            <c:numRef>
              <c:f>('VBP completo'!$AL$27,'VBP completo'!$AL$33:$AL$34)</c:f>
              <c:numCache>
                <c:formatCode>#,##0.00</c:formatCode>
                <c:ptCount val="3"/>
                <c:pt idx="0">
                  <c:v>932.34173251513732</c:v>
                </c:pt>
                <c:pt idx="1">
                  <c:v>489.80139703070898</c:v>
                </c:pt>
                <c:pt idx="2">
                  <c:v>1422.1431295458463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DB7-45B6-A473-822D44588A34}"/>
            </c:ext>
          </c:extLst>
        </c:ser>
        <c:ser>
          <c:idx val="1"/>
          <c:order val="1"/>
          <c:tx>
            <c:strRef>
              <c:f>'VBP completo'!$AM$3</c:f>
              <c:strCache>
                <c:ptCount val="1"/>
                <c:pt idx="0">
                  <c:v>2026**</c:v>
                </c:pt>
              </c:strCache>
            </c:strRef>
          </c:tx>
          <c:spPr>
            <a:pattFill prst="dkDnDiag">
              <a:fgClr>
                <a:srgbClr val="00B050"/>
              </a:fgClr>
              <a:bgClr>
                <a:schemeClr val="bg1"/>
              </a:bgClr>
            </a:pattFill>
            <a:ln>
              <a:solidFill>
                <a:srgbClr val="00B05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('VBP completo'!$A$27,'VBP completo'!$A$33:$A$34)</c:f>
              <c:strCache>
                <c:ptCount val="3"/>
                <c:pt idx="0">
                  <c:v>TOTAL LAVOURAS</c:v>
                </c:pt>
                <c:pt idx="1">
                  <c:v>TOTAL PECUÁRIA</c:v>
                </c:pt>
                <c:pt idx="2">
                  <c:v>VBP TOTAL</c:v>
                </c:pt>
              </c:strCache>
            </c:strRef>
          </c:cat>
          <c:val>
            <c:numRef>
              <c:f>('VBP completo'!$AM$27,'VBP completo'!$AM$33:$AM$34)</c:f>
              <c:numCache>
                <c:formatCode>#,##0.00</c:formatCode>
                <c:ptCount val="3"/>
                <c:pt idx="0">
                  <c:v>895.31137119525681</c:v>
                </c:pt>
                <c:pt idx="1">
                  <c:v>475.32829134070067</c:v>
                </c:pt>
                <c:pt idx="2">
                  <c:v>1370.6396625359575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B22-4148-947B-75B4A4F4CA7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-10"/>
        <c:axId val="737294008"/>
        <c:axId val="737293680"/>
      </c:barChart>
      <c:lineChart>
        <c:grouping val="standard"/>
        <c:varyColors val="0"/>
        <c:ser>
          <c:idx val="2"/>
          <c:order val="2"/>
          <c:tx>
            <c:strRef>
              <c:f>'VBP completo'!$AP$3</c:f>
              <c:strCache>
                <c:ptCount val="1"/>
                <c:pt idx="0">
                  <c:v>% 2026/2025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6.8735078365431121E-2"/>
                  <c:y val="-0.5298944900351700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4E-435F-AC37-0A744D1F6B44}"/>
                </c:ext>
              </c:extLst>
            </c:dLbl>
            <c:dLbl>
              <c:idx val="1"/>
              <c:layout>
                <c:manualLayout>
                  <c:x val="-6.300715516831186E-2"/>
                  <c:y val="-0.3423212192262603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4E-435F-AC37-0A744D1F6B44}"/>
                </c:ext>
              </c:extLst>
            </c:dLbl>
            <c:dLbl>
              <c:idx val="2"/>
              <c:layout>
                <c:manualLayout>
                  <c:x val="-9.7374694351027427E-2"/>
                  <c:y val="-0.6565064478311840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4E-435F-AC37-0A744D1F6B44}"/>
                </c:ext>
              </c:extLst>
            </c:dLbl>
            <c:spPr>
              <a:solidFill>
                <a:schemeClr val="bg1">
                  <a:lumMod val="7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('VBP completo'!$A$27,'VBP completo'!$A$33:$A$34)</c:f>
              <c:strCache>
                <c:ptCount val="3"/>
                <c:pt idx="0">
                  <c:v>TOTAL LAVOURAS</c:v>
                </c:pt>
                <c:pt idx="1">
                  <c:v>TOTAL PECUÁRIA</c:v>
                </c:pt>
                <c:pt idx="2">
                  <c:v>VBP TOTAL</c:v>
                </c:pt>
              </c:strCache>
            </c:strRef>
          </c:cat>
          <c:val>
            <c:numRef>
              <c:f>('VBP completo'!$AP$27,'VBP completo'!$AP$33:$AP$34)</c:f>
              <c:numCache>
                <c:formatCode>0.0%</c:formatCode>
                <c:ptCount val="3"/>
                <c:pt idx="0">
                  <c:v>-3.971758425956684E-2</c:v>
                </c:pt>
                <c:pt idx="1">
                  <c:v>-2.9548926927827623E-2</c:v>
                </c:pt>
                <c:pt idx="2">
                  <c:v>-3.6215389252934105E-2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B22-4148-947B-75B4A4F4CA7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86206048"/>
        <c:axId val="1086210640"/>
      </c:lineChart>
      <c:catAx>
        <c:axId val="7372940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r>
                  <a:rPr lang="en-US" sz="800" b="0" i="0" u="none" strike="noStrike" baseline="0">
                    <a:effectLst/>
                  </a:rPr>
                  <a:t>Fonte: </a:t>
                </a:r>
                <a:r>
                  <a:rPr lang="pt-BR" sz="800" b="0" i="0" u="none" strike="noStrike" baseline="0">
                    <a:effectLst/>
                  </a:rPr>
                  <a:t>: CGAEC/DAEP/SPA/MAPA</a:t>
                </a:r>
              </a:p>
            </c:rich>
          </c:tx>
          <c:layout>
            <c:manualLayout>
              <c:xMode val="edge"/>
              <c:yMode val="edge"/>
              <c:x val="8.4768362739906969E-2"/>
              <c:y val="0.92261727351195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ysClr val="windowText" lastClr="000000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pt-BR"/>
          </a:p>
        </c:txPr>
        <c:crossAx val="737293680"/>
        <c:crosses val="autoZero"/>
        <c:auto val="1"/>
        <c:lblAlgn val="ctr"/>
        <c:lblOffset val="100"/>
        <c:noMultiLvlLbl val="0"/>
      </c:catAx>
      <c:valAx>
        <c:axId val="737293680"/>
        <c:scaling>
          <c:orientation val="minMax"/>
          <c:max val="1800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r>
                  <a:rPr lang="en-US"/>
                  <a:t>bilhões R$</a:t>
                </a:r>
              </a:p>
            </c:rich>
          </c:tx>
          <c:layout>
            <c:manualLayout>
              <c:xMode val="edge"/>
              <c:yMode val="edge"/>
              <c:x val="1.8604651162790697E-2"/>
              <c:y val="0.319866051226355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</c:title>
        <c:numFmt formatCode="#,##0.00" sourceLinked="1"/>
        <c:majorTickMark val="out"/>
        <c:minorTickMark val="none"/>
        <c:tickLblPos val="nextTo"/>
        <c:crossAx val="737294008"/>
        <c:crosses val="autoZero"/>
        <c:crossBetween val="between"/>
      </c:valAx>
      <c:valAx>
        <c:axId val="1086210640"/>
        <c:scaling>
          <c:orientation val="minMax"/>
        </c:scaling>
        <c:delete val="1"/>
        <c:axPos val="r"/>
        <c:numFmt formatCode="0.0%" sourceLinked="1"/>
        <c:majorTickMark val="out"/>
        <c:minorTickMark val="none"/>
        <c:tickLblPos val="nextTo"/>
        <c:crossAx val="1086206048"/>
        <c:crosses val="max"/>
        <c:crossBetween val="between"/>
      </c:valAx>
      <c:catAx>
        <c:axId val="1086206048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1086210640"/>
        <c:crosses val="max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5684076990376203"/>
          <c:y val="0.12222583001867035"/>
          <c:w val="0.52848098638832941"/>
          <c:h val="9.11889462093100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Segoe UI" panose="020B0502040204020203" pitchFamily="34" charset="0"/>
          <a:cs typeface="Segoe UI" panose="020B0502040204020203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'VBP completo'!A1"/><Relationship Id="rId7" Type="http://schemas.openxmlformats.org/officeDocument/2006/relationships/hyperlink" Target="#Varia&#231;&#227;o!A1"/><Relationship Id="rId2" Type="http://schemas.openxmlformats.org/officeDocument/2006/relationships/hyperlink" Target="#VBP!A1"/><Relationship Id="rId1" Type="http://schemas.openxmlformats.org/officeDocument/2006/relationships/image" Target="../media/image1.jpeg"/><Relationship Id="rId6" Type="http://schemas.openxmlformats.org/officeDocument/2006/relationships/hyperlink" Target="#Laspeyres!A1"/><Relationship Id="rId5" Type="http://schemas.openxmlformats.org/officeDocument/2006/relationships/hyperlink" Target="#'VBP Completo Nominal'!A1"/><Relationship Id="rId4" Type="http://schemas.openxmlformats.org/officeDocument/2006/relationships/hyperlink" Target="#'Ranking 2025'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CAPA!A1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CAPA!A1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hyperlink" Target="#CAPA!A1"/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CAPA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CAPA!A1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hyperlink" Target="#CAPA!A1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379095</xdr:colOff>
      <xdr:row>6</xdr:row>
      <xdr:rowOff>36195</xdr:rowOff>
    </xdr:from>
    <xdr:to>
      <xdr:col>3</xdr:col>
      <xdr:colOff>493395</xdr:colOff>
      <xdr:row>7</xdr:row>
      <xdr:rowOff>121920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988695" y="1483995"/>
          <a:ext cx="133350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pt-BR" sz="1100" b="1"/>
            <a:t>mês/2020</a:t>
          </a:r>
        </a:p>
      </xdr:txBody>
    </xdr:sp>
    <xdr:clientData/>
  </xdr:twoCellAnchor>
  <xdr:twoCellAnchor>
    <xdr:from>
      <xdr:col>0</xdr:col>
      <xdr:colOff>409576</xdr:colOff>
      <xdr:row>1</xdr:row>
      <xdr:rowOff>123826</xdr:rowOff>
    </xdr:from>
    <xdr:to>
      <xdr:col>10</xdr:col>
      <xdr:colOff>561976</xdr:colOff>
      <xdr:row>26</xdr:row>
      <xdr:rowOff>19051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409576" y="666751"/>
          <a:ext cx="6248400" cy="4419600"/>
        </a:xfrm>
        <a:prstGeom prst="rect">
          <a:avLst/>
        </a:prstGeom>
        <a:gradFill flip="none" rotWithShape="1">
          <a:gsLst>
            <a:gs pos="0">
              <a:schemeClr val="accent3">
                <a:lumMod val="0"/>
                <a:lumOff val="100000"/>
              </a:schemeClr>
            </a:gs>
            <a:gs pos="35000">
              <a:schemeClr val="accent3">
                <a:lumMod val="0"/>
                <a:lumOff val="100000"/>
              </a:schemeClr>
            </a:gs>
            <a:gs pos="100000">
              <a:schemeClr val="accent3">
                <a:lumMod val="100000"/>
              </a:schemeClr>
            </a:gs>
          </a:gsLst>
          <a:path path="circle">
            <a:fillToRect l="50000" t="-80000" r="50000" b="180000"/>
          </a:path>
          <a:tileRect/>
        </a:gradFill>
        <a:ln>
          <a:noFill/>
        </a:ln>
        <a:effectLst>
          <a:outerShdw blurRad="50800" dist="38100" dir="2700000" algn="tl" rotWithShape="0">
            <a:schemeClr val="tx1">
              <a:alpha val="40000"/>
            </a:scheme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ln>
              <a:solidFill>
                <a:srgbClr val="001848"/>
              </a:solidFill>
            </a:ln>
          </a:endParaRPr>
        </a:p>
      </xdr:txBody>
    </xdr:sp>
    <xdr:clientData/>
  </xdr:twoCellAnchor>
  <xdr:twoCellAnchor editAs="oneCell">
    <xdr:from>
      <xdr:col>0</xdr:col>
      <xdr:colOff>546758</xdr:colOff>
      <xdr:row>2</xdr:row>
      <xdr:rowOff>107022</xdr:rowOff>
    </xdr:from>
    <xdr:to>
      <xdr:col>10</xdr:col>
      <xdr:colOff>420794</xdr:colOff>
      <xdr:row>25</xdr:row>
      <xdr:rowOff>19050</xdr:rowOff>
    </xdr:to>
    <xdr:pic>
      <xdr:nvPicPr>
        <xdr:cNvPr id="32" name="Imagem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6758" y="830922"/>
          <a:ext cx="5970036" cy="4074453"/>
        </a:xfrm>
        <a:prstGeom prst="rect">
          <a:avLst/>
        </a:prstGeom>
      </xdr:spPr>
    </xdr:pic>
    <xdr:clientData/>
  </xdr:twoCellAnchor>
  <xdr:twoCellAnchor>
    <xdr:from>
      <xdr:col>1</xdr:col>
      <xdr:colOff>426827</xdr:colOff>
      <xdr:row>7</xdr:row>
      <xdr:rowOff>74573</xdr:rowOff>
    </xdr:from>
    <xdr:to>
      <xdr:col>3</xdr:col>
      <xdr:colOff>541127</xdr:colOff>
      <xdr:row>8</xdr:row>
      <xdr:rowOff>179348</xdr:rowOff>
    </xdr:to>
    <xdr:sp macro="" textlink="">
      <xdr:nvSpPr>
        <xdr:cNvPr id="33" name="CaixaDeTexto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 txBox="1"/>
      </xdr:nvSpPr>
      <xdr:spPr>
        <a:xfrm>
          <a:off x="1036427" y="1703348"/>
          <a:ext cx="1333500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>
              <a:latin typeface="Segoe UI" panose="020B0502040204020203" pitchFamily="34" charset="0"/>
              <a:cs typeface="Segoe UI" panose="020B0502040204020203" pitchFamily="34" charset="0"/>
            </a:rPr>
            <a:t>Janeiro/2026</a:t>
          </a:r>
        </a:p>
      </xdr:txBody>
    </xdr:sp>
    <xdr:clientData/>
  </xdr:twoCellAnchor>
  <xdr:twoCellAnchor>
    <xdr:from>
      <xdr:col>11</xdr:col>
      <xdr:colOff>318359</xdr:colOff>
      <xdr:row>7</xdr:row>
      <xdr:rowOff>17145</xdr:rowOff>
    </xdr:from>
    <xdr:to>
      <xdr:col>14</xdr:col>
      <xdr:colOff>64757</xdr:colOff>
      <xdr:row>9</xdr:row>
      <xdr:rowOff>26670</xdr:rowOff>
    </xdr:to>
    <xdr:sp macro="" textlink="">
      <xdr:nvSpPr>
        <xdr:cNvPr id="12" name="Retângulo: Cantos Arredondados 1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7023959" y="1283970"/>
          <a:ext cx="1308498" cy="371475"/>
        </a:xfrm>
        <a:prstGeom prst="roundRect">
          <a:avLst>
            <a:gd name="adj" fmla="val 50000"/>
          </a:avLst>
        </a:prstGeom>
        <a:gradFill>
          <a:gsLst>
            <a:gs pos="0">
              <a:schemeClr val="accent3">
                <a:lumMod val="0"/>
                <a:lumOff val="100000"/>
              </a:schemeClr>
            </a:gs>
            <a:gs pos="35000">
              <a:schemeClr val="accent3">
                <a:lumMod val="0"/>
                <a:lumOff val="100000"/>
              </a:schemeClr>
            </a:gs>
            <a:gs pos="100000">
              <a:schemeClr val="accent3">
                <a:lumMod val="100000"/>
              </a:schemeClr>
            </a:gs>
          </a:gsLst>
          <a:path path="circle">
            <a:fillToRect l="50000" t="-80000" r="50000" b="180000"/>
          </a:path>
        </a:gradFill>
        <a:ln>
          <a:noFill/>
        </a:ln>
        <a:effectLst>
          <a:outerShdw blurRad="50800" dist="38100" dir="2700000" algn="tl" rotWithShape="0">
            <a:schemeClr val="tx1">
              <a:alpha val="40000"/>
            </a:scheme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 u="none">
              <a:solidFill>
                <a:schemeClr val="accent3">
                  <a:lumMod val="50000"/>
                </a:schemeClr>
              </a:solidFill>
              <a:effectLst>
                <a:innerShdw blurRad="63500" dist="50800" dir="13500000">
                  <a:prstClr val="black">
                    <a:alpha val="50000"/>
                  </a:prstClr>
                </a:innerShdw>
              </a:effectLst>
            </a:rPr>
            <a:t>VBP Brasil</a:t>
          </a:r>
          <a:endParaRPr lang="pt-BR" sz="1600" b="1" u="none">
            <a:solidFill>
              <a:schemeClr val="accent3">
                <a:lumMod val="50000"/>
              </a:schemeClr>
            </a:solidFill>
          </a:endParaRPr>
        </a:p>
      </xdr:txBody>
    </xdr:sp>
    <xdr:clientData/>
  </xdr:twoCellAnchor>
  <xdr:twoCellAnchor>
    <xdr:from>
      <xdr:col>14</xdr:col>
      <xdr:colOff>175087</xdr:colOff>
      <xdr:row>7</xdr:row>
      <xdr:rowOff>12382</xdr:rowOff>
    </xdr:from>
    <xdr:to>
      <xdr:col>17</xdr:col>
      <xdr:colOff>322330</xdr:colOff>
      <xdr:row>9</xdr:row>
      <xdr:rowOff>31432</xdr:rowOff>
    </xdr:to>
    <xdr:sp macro="" textlink="">
      <xdr:nvSpPr>
        <xdr:cNvPr id="15" name="Retângulo: Cantos Arredondados 1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8442787" y="1279207"/>
          <a:ext cx="1976043" cy="381000"/>
        </a:xfrm>
        <a:prstGeom prst="roundRect">
          <a:avLst>
            <a:gd name="adj" fmla="val 50000"/>
          </a:avLst>
        </a:prstGeom>
        <a:gradFill>
          <a:gsLst>
            <a:gs pos="0">
              <a:schemeClr val="accent3">
                <a:lumMod val="0"/>
                <a:lumOff val="100000"/>
              </a:schemeClr>
            </a:gs>
            <a:gs pos="35000">
              <a:schemeClr val="accent3">
                <a:lumMod val="0"/>
                <a:lumOff val="100000"/>
              </a:schemeClr>
            </a:gs>
            <a:gs pos="100000">
              <a:schemeClr val="accent3">
                <a:lumMod val="100000"/>
              </a:schemeClr>
            </a:gs>
          </a:gsLst>
          <a:path path="circle">
            <a:fillToRect l="50000" t="-80000" r="50000" b="180000"/>
          </a:path>
        </a:gradFill>
        <a:ln>
          <a:noFill/>
        </a:ln>
        <a:effectLst>
          <a:outerShdw blurRad="50800" dist="38100" dir="2700000" algn="tl" rotWithShape="0">
            <a:schemeClr val="tx1">
              <a:alpha val="40000"/>
            </a:scheme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600" b="1">
              <a:solidFill>
                <a:schemeClr val="accent3">
                  <a:lumMod val="50000"/>
                </a:schemeClr>
              </a:solidFill>
              <a:effectLst>
                <a:innerShdw blurRad="63500" dist="50800" dir="13500000">
                  <a:prstClr val="black">
                    <a:alpha val="50000"/>
                  </a:prstClr>
                </a:innerShdw>
              </a:effectLst>
              <a:latin typeface="+mn-lt"/>
              <a:ea typeface="+mn-ea"/>
              <a:cs typeface="+mn-cs"/>
            </a:rPr>
            <a:t>VBP Completo Real</a:t>
          </a:r>
        </a:p>
      </xdr:txBody>
    </xdr:sp>
    <xdr:clientData/>
  </xdr:twoCellAnchor>
  <xdr:twoCellAnchor>
    <xdr:from>
      <xdr:col>13</xdr:col>
      <xdr:colOff>424921</xdr:colOff>
      <xdr:row>15</xdr:row>
      <xdr:rowOff>66675</xdr:rowOff>
    </xdr:from>
    <xdr:to>
      <xdr:col>15</xdr:col>
      <xdr:colOff>491596</xdr:colOff>
      <xdr:row>17</xdr:row>
      <xdr:rowOff>71350</xdr:rowOff>
    </xdr:to>
    <xdr:sp macro="" textlink="">
      <xdr:nvSpPr>
        <xdr:cNvPr id="16" name="Retângulo: Cantos Arredondados 1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8083021" y="2781300"/>
          <a:ext cx="1285875" cy="366625"/>
        </a:xfrm>
        <a:prstGeom prst="roundRect">
          <a:avLst>
            <a:gd name="adj" fmla="val 50000"/>
          </a:avLst>
        </a:prstGeom>
        <a:gradFill>
          <a:gsLst>
            <a:gs pos="0">
              <a:schemeClr val="accent3">
                <a:lumMod val="0"/>
                <a:lumOff val="100000"/>
              </a:schemeClr>
            </a:gs>
            <a:gs pos="35000">
              <a:schemeClr val="accent3">
                <a:lumMod val="0"/>
                <a:lumOff val="100000"/>
              </a:schemeClr>
            </a:gs>
            <a:gs pos="100000">
              <a:schemeClr val="accent3">
                <a:lumMod val="100000"/>
              </a:schemeClr>
            </a:gs>
          </a:gsLst>
          <a:path path="circle">
            <a:fillToRect l="50000" t="-80000" r="50000" b="180000"/>
          </a:path>
        </a:gradFill>
        <a:ln>
          <a:noFill/>
        </a:ln>
        <a:effectLst>
          <a:outerShdw blurRad="50800" dist="38100" dir="2700000" algn="tl" rotWithShape="0">
            <a:schemeClr val="tx1">
              <a:alpha val="40000"/>
            </a:scheme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600" b="1">
              <a:solidFill>
                <a:schemeClr val="accent3">
                  <a:lumMod val="50000"/>
                </a:schemeClr>
              </a:solidFill>
              <a:effectLst>
                <a:innerShdw blurRad="63500" dist="50800" dir="13500000">
                  <a:prstClr val="black">
                    <a:alpha val="50000"/>
                  </a:prstClr>
                </a:innerShdw>
              </a:effectLst>
              <a:latin typeface="+mn-lt"/>
              <a:ea typeface="+mn-ea"/>
              <a:cs typeface="+mn-cs"/>
            </a:rPr>
            <a:t>Ranking </a:t>
          </a:r>
        </a:p>
      </xdr:txBody>
    </xdr:sp>
    <xdr:clientData/>
  </xdr:twoCellAnchor>
  <xdr:twoCellAnchor>
    <xdr:from>
      <xdr:col>11</xdr:col>
      <xdr:colOff>211667</xdr:colOff>
      <xdr:row>3</xdr:row>
      <xdr:rowOff>69849</xdr:rowOff>
    </xdr:from>
    <xdr:to>
      <xdr:col>17</xdr:col>
      <xdr:colOff>276225</xdr:colOff>
      <xdr:row>5</xdr:row>
      <xdr:rowOff>152400</xdr:rowOff>
    </xdr:to>
    <xdr:sp macro="" textlink="">
      <xdr:nvSpPr>
        <xdr:cNvPr id="17" name="Retângulo: Cantos Arredondados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6917267" y="612774"/>
          <a:ext cx="3455458" cy="444501"/>
        </a:xfrm>
        <a:prstGeom prst="roundRect">
          <a:avLst>
            <a:gd name="adj" fmla="val 50000"/>
          </a:avLst>
        </a:prstGeom>
        <a:gradFill flip="none" rotWithShape="1">
          <a:gsLst>
            <a:gs pos="0">
              <a:schemeClr val="accent3">
                <a:lumMod val="89000"/>
              </a:schemeClr>
            </a:gs>
            <a:gs pos="23000">
              <a:schemeClr val="accent3">
                <a:lumMod val="89000"/>
              </a:schemeClr>
            </a:gs>
            <a:gs pos="69000">
              <a:schemeClr val="accent3">
                <a:lumMod val="75000"/>
              </a:schemeClr>
            </a:gs>
            <a:gs pos="97000">
              <a:schemeClr val="accent3">
                <a:lumMod val="70000"/>
              </a:schemeClr>
            </a:gs>
          </a:gsLst>
          <a:path path="circle">
            <a:fillToRect l="50000" t="50000" r="50000" b="50000"/>
          </a:path>
          <a:tileRect/>
        </a:gradFill>
        <a:ln>
          <a:noFill/>
        </a:ln>
        <a:effectLst>
          <a:outerShdw blurRad="50800" dist="38100" dir="2700000" algn="tl" rotWithShape="0">
            <a:schemeClr val="tx1">
              <a:alpha val="40000"/>
            </a:scheme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VBP BRASIL - Selecione</a:t>
          </a:r>
          <a:endParaRPr lang="pt-BR" sz="1800" b="1">
            <a:solidFill>
              <a:schemeClr val="accent3">
                <a:lumMod val="75000"/>
              </a:schemeClr>
            </a:solidFill>
          </a:endParaRPr>
        </a:p>
      </xdr:txBody>
    </xdr:sp>
    <xdr:clientData/>
  </xdr:twoCellAnchor>
  <xdr:twoCellAnchor>
    <xdr:from>
      <xdr:col>12</xdr:col>
      <xdr:colOff>200025</xdr:colOff>
      <xdr:row>12</xdr:row>
      <xdr:rowOff>108903</xdr:rowOff>
    </xdr:from>
    <xdr:to>
      <xdr:col>17</xdr:col>
      <xdr:colOff>112780</xdr:colOff>
      <xdr:row>14</xdr:row>
      <xdr:rowOff>127953</xdr:rowOff>
    </xdr:to>
    <xdr:sp macro="" textlink="">
      <xdr:nvSpPr>
        <xdr:cNvPr id="18" name="Retângulo: Cantos Arredondados 1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7248525" y="2280603"/>
          <a:ext cx="2960755" cy="381000"/>
        </a:xfrm>
        <a:prstGeom prst="roundRect">
          <a:avLst>
            <a:gd name="adj" fmla="val 50000"/>
          </a:avLst>
        </a:prstGeom>
        <a:gradFill>
          <a:gsLst>
            <a:gs pos="0">
              <a:schemeClr val="accent3">
                <a:lumMod val="0"/>
                <a:lumOff val="100000"/>
              </a:schemeClr>
            </a:gs>
            <a:gs pos="35000">
              <a:schemeClr val="accent3">
                <a:lumMod val="0"/>
                <a:lumOff val="100000"/>
              </a:schemeClr>
            </a:gs>
            <a:gs pos="100000">
              <a:schemeClr val="accent3">
                <a:lumMod val="100000"/>
              </a:schemeClr>
            </a:gs>
          </a:gsLst>
          <a:path path="circle">
            <a:fillToRect l="50000" t="-80000" r="50000" b="180000"/>
          </a:path>
        </a:gradFill>
        <a:ln>
          <a:noFill/>
        </a:ln>
        <a:effectLst>
          <a:outerShdw blurRad="50800" dist="38100" dir="2700000" algn="tl" rotWithShape="0">
            <a:schemeClr val="tx1">
              <a:alpha val="40000"/>
            </a:scheme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600" b="1">
              <a:solidFill>
                <a:schemeClr val="accent3">
                  <a:lumMod val="50000"/>
                </a:schemeClr>
              </a:solidFill>
              <a:effectLst>
                <a:innerShdw blurRad="63500" dist="50800" dir="13500000">
                  <a:prstClr val="black">
                    <a:alpha val="50000"/>
                  </a:prstClr>
                </a:innerShdw>
              </a:effectLst>
              <a:latin typeface="+mn-lt"/>
              <a:ea typeface="+mn-ea"/>
              <a:cs typeface="+mn-cs"/>
            </a:rPr>
            <a:t>VBP Completo Nominal </a:t>
          </a:r>
        </a:p>
      </xdr:txBody>
    </xdr:sp>
    <xdr:clientData/>
  </xdr:twoCellAnchor>
  <xdr:twoCellAnchor>
    <xdr:from>
      <xdr:col>11</xdr:col>
      <xdr:colOff>318359</xdr:colOff>
      <xdr:row>9</xdr:row>
      <xdr:rowOff>153512</xdr:rowOff>
    </xdr:from>
    <xdr:to>
      <xdr:col>14</xdr:col>
      <xdr:colOff>64757</xdr:colOff>
      <xdr:row>11</xdr:row>
      <xdr:rowOff>163037</xdr:rowOff>
    </xdr:to>
    <xdr:sp macro="" textlink="">
      <xdr:nvSpPr>
        <xdr:cNvPr id="19" name="Retângulo: Cantos Arredondados 1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7023959" y="1782287"/>
          <a:ext cx="1308498" cy="371475"/>
        </a:xfrm>
        <a:prstGeom prst="roundRect">
          <a:avLst>
            <a:gd name="adj" fmla="val 50000"/>
          </a:avLst>
        </a:prstGeom>
        <a:gradFill>
          <a:gsLst>
            <a:gs pos="0">
              <a:schemeClr val="accent3">
                <a:lumMod val="0"/>
                <a:lumOff val="100000"/>
              </a:schemeClr>
            </a:gs>
            <a:gs pos="35000">
              <a:schemeClr val="accent3">
                <a:lumMod val="0"/>
                <a:lumOff val="100000"/>
              </a:schemeClr>
            </a:gs>
            <a:gs pos="100000">
              <a:schemeClr val="accent3">
                <a:lumMod val="100000"/>
              </a:schemeClr>
            </a:gs>
          </a:gsLst>
          <a:path path="circle">
            <a:fillToRect l="50000" t="-80000" r="50000" b="180000"/>
          </a:path>
        </a:gradFill>
        <a:ln>
          <a:noFill/>
        </a:ln>
        <a:effectLst>
          <a:outerShdw blurRad="50800" dist="38100" dir="2700000" algn="tl" rotWithShape="0">
            <a:schemeClr val="tx1">
              <a:alpha val="40000"/>
            </a:scheme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 u="none">
              <a:solidFill>
                <a:schemeClr val="accent3">
                  <a:lumMod val="50000"/>
                </a:schemeClr>
              </a:solidFill>
              <a:effectLst>
                <a:innerShdw blurRad="63500" dist="50800" dir="13500000">
                  <a:prstClr val="black">
                    <a:alpha val="50000"/>
                  </a:prstClr>
                </a:innerShdw>
              </a:effectLst>
            </a:rPr>
            <a:t>Laspeyres</a:t>
          </a:r>
          <a:endParaRPr lang="pt-BR" sz="1600" b="1" u="none">
            <a:solidFill>
              <a:schemeClr val="accent3">
                <a:lumMod val="50000"/>
              </a:schemeClr>
            </a:solidFill>
          </a:endParaRPr>
        </a:p>
      </xdr:txBody>
    </xdr:sp>
    <xdr:clientData/>
  </xdr:twoCellAnchor>
  <xdr:twoCellAnchor>
    <xdr:from>
      <xdr:col>14</xdr:col>
      <xdr:colOff>175087</xdr:colOff>
      <xdr:row>9</xdr:row>
      <xdr:rowOff>151130</xdr:rowOff>
    </xdr:from>
    <xdr:to>
      <xdr:col>17</xdr:col>
      <xdr:colOff>322330</xdr:colOff>
      <xdr:row>11</xdr:row>
      <xdr:rowOff>170180</xdr:rowOff>
    </xdr:to>
    <xdr:sp macro="" textlink="">
      <xdr:nvSpPr>
        <xdr:cNvPr id="20" name="Retângulo: Cantos Arredondados 1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8442787" y="1779905"/>
          <a:ext cx="1976043" cy="381000"/>
        </a:xfrm>
        <a:prstGeom prst="roundRect">
          <a:avLst>
            <a:gd name="adj" fmla="val 50000"/>
          </a:avLst>
        </a:prstGeom>
        <a:gradFill>
          <a:gsLst>
            <a:gs pos="0">
              <a:schemeClr val="accent3">
                <a:lumMod val="0"/>
                <a:lumOff val="100000"/>
              </a:schemeClr>
            </a:gs>
            <a:gs pos="35000">
              <a:schemeClr val="accent3">
                <a:lumMod val="0"/>
                <a:lumOff val="100000"/>
              </a:schemeClr>
            </a:gs>
            <a:gs pos="100000">
              <a:schemeClr val="accent3">
                <a:lumMod val="100000"/>
              </a:schemeClr>
            </a:gs>
          </a:gsLst>
          <a:path path="circle">
            <a:fillToRect l="50000" t="-80000" r="50000" b="180000"/>
          </a:path>
        </a:gradFill>
        <a:ln>
          <a:noFill/>
        </a:ln>
        <a:effectLst>
          <a:outerShdw blurRad="50800" dist="38100" dir="2700000" algn="tl" rotWithShape="0">
            <a:schemeClr val="tx1">
              <a:alpha val="40000"/>
            </a:scheme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600" b="1">
              <a:solidFill>
                <a:schemeClr val="accent3">
                  <a:lumMod val="50000"/>
                </a:schemeClr>
              </a:solidFill>
              <a:effectLst>
                <a:innerShdw blurRad="63500" dist="50800" dir="13500000">
                  <a:prstClr val="black">
                    <a:alpha val="50000"/>
                  </a:prstClr>
                </a:innerShdw>
              </a:effectLst>
              <a:latin typeface="+mn-lt"/>
              <a:ea typeface="+mn-ea"/>
              <a:cs typeface="+mn-cs"/>
            </a:rPr>
            <a:t>Variação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183356</xdr:colOff>
      <xdr:row>2</xdr:row>
      <xdr:rowOff>447674</xdr:rowOff>
    </xdr:from>
    <xdr:to>
      <xdr:col>21</xdr:col>
      <xdr:colOff>304800</xdr:colOff>
      <xdr:row>14</xdr:row>
      <xdr:rowOff>171450</xdr:rowOff>
    </xdr:to>
    <xdr:graphicFrame macro="">
      <xdr:nvGraphicFramePr>
        <xdr:cNvPr id="4" name="Gráfico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217170</xdr:colOff>
      <xdr:row>15</xdr:row>
      <xdr:rowOff>106680</xdr:rowOff>
    </xdr:from>
    <xdr:to>
      <xdr:col>21</xdr:col>
      <xdr:colOff>323850</xdr:colOff>
      <xdr:row>27</xdr:row>
      <xdr:rowOff>38100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1279070</xdr:colOff>
      <xdr:row>2</xdr:row>
      <xdr:rowOff>40822</xdr:rowOff>
    </xdr:to>
    <xdr:grpSp>
      <xdr:nvGrpSpPr>
        <xdr:cNvPr id="8" name="Agrupar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pSpPr/>
      </xdr:nvGrpSpPr>
      <xdr:grpSpPr>
        <a:xfrm>
          <a:off x="0" y="0"/>
          <a:ext cx="1279070" cy="488497"/>
          <a:chOff x="0" y="0"/>
          <a:chExt cx="1583530" cy="432820"/>
        </a:xfrm>
      </xdr:grpSpPr>
      <xdr:sp macro="" textlink="">
        <xdr:nvSpPr>
          <xdr:cNvPr id="10" name="Seta: para a Esquerda 9">
            <a:extLst>
              <a:ext uri="{FF2B5EF4-FFF2-40B4-BE49-F238E27FC236}">
                <a16:creationId xmlns:a16="http://schemas.microsoft.com/office/drawing/2014/main" id="{00000000-0008-0000-0100-00000A000000}"/>
              </a:ext>
            </a:extLst>
          </xdr:cNvPr>
          <xdr:cNvSpPr/>
        </xdr:nvSpPr>
        <xdr:spPr>
          <a:xfrm>
            <a:off x="0" y="0"/>
            <a:ext cx="1540733" cy="432820"/>
          </a:xfrm>
          <a:prstGeom prst="leftArrow">
            <a:avLst/>
          </a:prstGeom>
          <a:gradFill flip="none" rotWithShape="1">
            <a:gsLst>
              <a:gs pos="0">
                <a:schemeClr val="accent3">
                  <a:lumMod val="0"/>
                  <a:lumOff val="100000"/>
                </a:schemeClr>
              </a:gs>
              <a:gs pos="35000">
                <a:schemeClr val="accent3">
                  <a:lumMod val="0"/>
                  <a:lumOff val="100000"/>
                </a:schemeClr>
              </a:gs>
              <a:gs pos="100000">
                <a:schemeClr val="accent3">
                  <a:lumMod val="100000"/>
                </a:schemeClr>
              </a:gs>
            </a:gsLst>
            <a:path path="circle">
              <a:fillToRect l="50000" t="-80000" r="50000" b="180000"/>
            </a:path>
            <a:tileRect/>
          </a:gradFill>
          <a:ln>
            <a:noFill/>
          </a:ln>
          <a:effectLst>
            <a:innerShdw blurRad="114300">
              <a:schemeClr val="accent3"/>
            </a:inn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endParaRPr lang="pt-BR" sz="1600" b="1">
              <a:solidFill>
                <a:schemeClr val="accent3">
                  <a:lumMod val="50000"/>
                </a:schemeClr>
              </a:solidFill>
              <a:effectLst>
                <a:innerShdw blurRad="63500" dist="50800" dir="13500000">
                  <a:prstClr val="black">
                    <a:alpha val="50000"/>
                  </a:prstClr>
                </a:innerShdw>
              </a:effectLst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11" name="Retângulo: Cantos Arredondados 10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00000000-0008-0000-0100-00000B000000}"/>
              </a:ext>
            </a:extLst>
          </xdr:cNvPr>
          <xdr:cNvSpPr/>
        </xdr:nvSpPr>
        <xdr:spPr>
          <a:xfrm>
            <a:off x="99861" y="90591"/>
            <a:ext cx="1483669" cy="254609"/>
          </a:xfrm>
          <a:prstGeom prst="roundRect">
            <a:avLst/>
          </a:prstGeom>
          <a:noFill/>
          <a:ln>
            <a:noFill/>
          </a:ln>
          <a:effectLst>
            <a:innerShdw blurRad="114300">
              <a:schemeClr val="accent4"/>
            </a:inn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600" b="1">
                <a:solidFill>
                  <a:schemeClr val="accent3">
                    <a:lumMod val="50000"/>
                  </a:schemeClr>
                </a:solidFill>
                <a:effectLst>
                  <a:innerShdw blurRad="63500" dist="50800" dir="13500000">
                    <a:prstClr val="black">
                      <a:alpha val="50000"/>
                    </a:prstClr>
                  </a:innerShdw>
                </a:effectLst>
              </a:rPr>
              <a:t>Voltar  </a:t>
            </a:r>
            <a:r>
              <a:rPr lang="pt-BR" sz="1600" b="1" baseline="0">
                <a:solidFill>
                  <a:schemeClr val="accent3">
                    <a:lumMod val="50000"/>
                  </a:schemeClr>
                </a:solidFill>
              </a:rPr>
              <a:t> </a:t>
            </a:r>
            <a:endParaRPr lang="pt-BR" sz="1600" b="1">
              <a:solidFill>
                <a:schemeClr val="accent3">
                  <a:lumMod val="50000"/>
                </a:schemeClr>
              </a:solidFill>
            </a:endParaRP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27214</xdr:colOff>
      <xdr:row>0</xdr:row>
      <xdr:rowOff>0</xdr:rowOff>
    </xdr:from>
    <xdr:to>
      <xdr:col>0</xdr:col>
      <xdr:colOff>1306284</xdr:colOff>
      <xdr:row>2</xdr:row>
      <xdr:rowOff>13607</xdr:rowOff>
    </xdr:to>
    <xdr:grpSp>
      <xdr:nvGrpSpPr>
        <xdr:cNvPr id="5" name="Agrupa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pSpPr/>
      </xdr:nvGrpSpPr>
      <xdr:grpSpPr>
        <a:xfrm>
          <a:off x="27214" y="0"/>
          <a:ext cx="1279070" cy="504674"/>
          <a:chOff x="0" y="0"/>
          <a:chExt cx="1583530" cy="432820"/>
        </a:xfrm>
      </xdr:grpSpPr>
      <xdr:sp macro="" textlink="">
        <xdr:nvSpPr>
          <xdr:cNvPr id="6" name="Seta: para a Esquerda 5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/>
        </xdr:nvSpPr>
        <xdr:spPr>
          <a:xfrm>
            <a:off x="0" y="0"/>
            <a:ext cx="1540733" cy="432820"/>
          </a:xfrm>
          <a:prstGeom prst="leftArrow">
            <a:avLst/>
          </a:prstGeom>
          <a:gradFill flip="none" rotWithShape="1">
            <a:gsLst>
              <a:gs pos="0">
                <a:schemeClr val="accent3">
                  <a:lumMod val="0"/>
                  <a:lumOff val="100000"/>
                </a:schemeClr>
              </a:gs>
              <a:gs pos="35000">
                <a:schemeClr val="accent3">
                  <a:lumMod val="0"/>
                  <a:lumOff val="100000"/>
                </a:schemeClr>
              </a:gs>
              <a:gs pos="100000">
                <a:schemeClr val="accent3">
                  <a:lumMod val="100000"/>
                </a:schemeClr>
              </a:gs>
            </a:gsLst>
            <a:path path="circle">
              <a:fillToRect l="50000" t="-80000" r="50000" b="180000"/>
            </a:path>
            <a:tileRect/>
          </a:gradFill>
          <a:ln>
            <a:noFill/>
          </a:ln>
          <a:effectLst>
            <a:innerShdw blurRad="114300">
              <a:schemeClr val="accent3"/>
            </a:inn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endParaRPr lang="pt-BR" sz="1600" b="1">
              <a:solidFill>
                <a:schemeClr val="accent3">
                  <a:lumMod val="50000"/>
                </a:schemeClr>
              </a:solidFill>
              <a:effectLst>
                <a:innerShdw blurRad="63500" dist="50800" dir="13500000">
                  <a:prstClr val="black">
                    <a:alpha val="50000"/>
                  </a:prstClr>
                </a:innerShdw>
              </a:effectLst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7" name="Retângulo: Cantos Arredondados 6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/>
        </xdr:nvSpPr>
        <xdr:spPr>
          <a:xfrm>
            <a:off x="99861" y="90591"/>
            <a:ext cx="1483669" cy="254609"/>
          </a:xfrm>
          <a:prstGeom prst="roundRect">
            <a:avLst/>
          </a:prstGeom>
          <a:noFill/>
          <a:ln>
            <a:noFill/>
          </a:ln>
          <a:effectLst>
            <a:innerShdw blurRad="114300">
              <a:schemeClr val="accent4"/>
            </a:inn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600" b="1">
                <a:solidFill>
                  <a:schemeClr val="accent3">
                    <a:lumMod val="50000"/>
                  </a:schemeClr>
                </a:solidFill>
                <a:effectLst>
                  <a:innerShdw blurRad="63500" dist="50800" dir="13500000">
                    <a:prstClr val="black">
                      <a:alpha val="50000"/>
                    </a:prstClr>
                  </a:innerShdw>
                </a:effectLst>
              </a:rPr>
              <a:t>Voltar  </a:t>
            </a:r>
            <a:r>
              <a:rPr lang="pt-BR" sz="1600" b="1" baseline="0">
                <a:solidFill>
                  <a:schemeClr val="accent3">
                    <a:lumMod val="50000"/>
                  </a:schemeClr>
                </a:solidFill>
              </a:rPr>
              <a:t> </a:t>
            </a:r>
            <a:endParaRPr lang="pt-BR" sz="1600" b="1">
              <a:solidFill>
                <a:schemeClr val="accent3">
                  <a:lumMod val="50000"/>
                </a:schemeClr>
              </a:solidFill>
            </a:endParaRPr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192405</xdr:colOff>
      <xdr:row>3</xdr:row>
      <xdr:rowOff>7620</xdr:rowOff>
    </xdr:from>
    <xdr:to>
      <xdr:col>11</xdr:col>
      <xdr:colOff>493395</xdr:colOff>
      <xdr:row>15</xdr:row>
      <xdr:rowOff>200025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517072</xdr:colOff>
      <xdr:row>0</xdr:row>
      <xdr:rowOff>81642</xdr:rowOff>
    </xdr:from>
    <xdr:to>
      <xdr:col>7</xdr:col>
      <xdr:colOff>503464</xdr:colOff>
      <xdr:row>2</xdr:row>
      <xdr:rowOff>204106</xdr:rowOff>
    </xdr:to>
    <xdr:grpSp>
      <xdr:nvGrpSpPr>
        <xdr:cNvPr id="3" name="Agrupar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pSpPr/>
      </xdr:nvGrpSpPr>
      <xdr:grpSpPr>
        <a:xfrm>
          <a:off x="4879522" y="81642"/>
          <a:ext cx="1205592" cy="579664"/>
          <a:chOff x="0" y="0"/>
          <a:chExt cx="1583530" cy="432820"/>
        </a:xfrm>
      </xdr:grpSpPr>
      <xdr:sp macro="" textlink="">
        <xdr:nvSpPr>
          <xdr:cNvPr id="4" name="Seta: para a Esquerda 3">
            <a:extLst>
              <a:ext uri="{FF2B5EF4-FFF2-40B4-BE49-F238E27FC236}">
                <a16:creationId xmlns:a16="http://schemas.microsoft.com/office/drawing/2014/main" id="{00000000-0008-0000-0400-000004000000}"/>
              </a:ext>
            </a:extLst>
          </xdr:cNvPr>
          <xdr:cNvSpPr/>
        </xdr:nvSpPr>
        <xdr:spPr>
          <a:xfrm>
            <a:off x="0" y="0"/>
            <a:ext cx="1540733" cy="432820"/>
          </a:xfrm>
          <a:prstGeom prst="leftArrow">
            <a:avLst/>
          </a:prstGeom>
          <a:gradFill flip="none" rotWithShape="1">
            <a:gsLst>
              <a:gs pos="0">
                <a:schemeClr val="accent3">
                  <a:lumMod val="0"/>
                  <a:lumOff val="100000"/>
                </a:schemeClr>
              </a:gs>
              <a:gs pos="35000">
                <a:schemeClr val="accent3">
                  <a:lumMod val="0"/>
                  <a:lumOff val="100000"/>
                </a:schemeClr>
              </a:gs>
              <a:gs pos="100000">
                <a:schemeClr val="accent5"/>
              </a:gs>
            </a:gsLst>
            <a:path path="circle">
              <a:fillToRect l="50000" t="-80000" r="50000" b="180000"/>
            </a:path>
            <a:tileRect/>
          </a:gradFill>
          <a:ln>
            <a:noFill/>
          </a:ln>
          <a:effectLst>
            <a:innerShdw blurRad="114300">
              <a:schemeClr val="accent5"/>
            </a:inn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endParaRPr lang="pt-BR" sz="1600" b="1">
              <a:solidFill>
                <a:schemeClr val="accent3">
                  <a:lumMod val="50000"/>
                </a:schemeClr>
              </a:solidFill>
              <a:effectLst>
                <a:innerShdw blurRad="63500" dist="50800" dir="13500000">
                  <a:prstClr val="black">
                    <a:alpha val="50000"/>
                  </a:prstClr>
                </a:innerShdw>
              </a:effectLst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5" name="Retângulo: Cantos Arredondados 4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00000000-0008-0000-0400-000005000000}"/>
              </a:ext>
            </a:extLst>
          </xdr:cNvPr>
          <xdr:cNvSpPr/>
        </xdr:nvSpPr>
        <xdr:spPr>
          <a:xfrm>
            <a:off x="99861" y="90591"/>
            <a:ext cx="1483669" cy="254609"/>
          </a:xfrm>
          <a:prstGeom prst="roundRect">
            <a:avLst/>
          </a:prstGeom>
          <a:noFill/>
          <a:ln>
            <a:noFill/>
          </a:ln>
          <a:effectLst>
            <a:innerShdw blurRad="114300">
              <a:schemeClr val="accent4"/>
            </a:inn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600" b="1">
                <a:solidFill>
                  <a:schemeClr val="accent3">
                    <a:lumMod val="50000"/>
                  </a:schemeClr>
                </a:solidFill>
                <a:effectLst>
                  <a:innerShdw blurRad="63500" dist="50800" dir="13500000">
                    <a:prstClr val="black">
                      <a:alpha val="50000"/>
                    </a:prstClr>
                  </a:innerShdw>
                </a:effectLst>
              </a:rPr>
              <a:t>Voltar</a:t>
            </a:r>
            <a:endParaRPr lang="pt-BR" sz="1600" b="1">
              <a:solidFill>
                <a:schemeClr val="accent3">
                  <a:lumMod val="50000"/>
                </a:schemeClr>
              </a:solidFill>
            </a:endParaRPr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1279071</xdr:colOff>
      <xdr:row>2</xdr:row>
      <xdr:rowOff>13607</xdr:rowOff>
    </xdr:to>
    <xdr:grpSp>
      <xdr:nvGrpSpPr>
        <xdr:cNvPr id="2" name="Agrupar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0" y="0"/>
          <a:ext cx="1279071" cy="451757"/>
          <a:chOff x="0" y="0"/>
          <a:chExt cx="1583530" cy="432820"/>
        </a:xfrm>
      </xdr:grpSpPr>
      <xdr:sp macro="" textlink="">
        <xdr:nvSpPr>
          <xdr:cNvPr id="3" name="Seta: para a Esquerda 2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SpPr/>
        </xdr:nvSpPr>
        <xdr:spPr>
          <a:xfrm>
            <a:off x="0" y="0"/>
            <a:ext cx="1540733" cy="432820"/>
          </a:xfrm>
          <a:prstGeom prst="leftArrow">
            <a:avLst/>
          </a:prstGeom>
          <a:gradFill flip="none" rotWithShape="1">
            <a:gsLst>
              <a:gs pos="0">
                <a:schemeClr val="accent3">
                  <a:lumMod val="0"/>
                  <a:lumOff val="100000"/>
                </a:schemeClr>
              </a:gs>
              <a:gs pos="35000">
                <a:schemeClr val="accent3">
                  <a:lumMod val="0"/>
                  <a:lumOff val="100000"/>
                </a:schemeClr>
              </a:gs>
              <a:gs pos="100000">
                <a:srgbClr val="EA813A"/>
              </a:gs>
            </a:gsLst>
            <a:path path="circle">
              <a:fillToRect l="50000" t="-80000" r="50000" b="180000"/>
            </a:path>
            <a:tileRect/>
          </a:gradFill>
          <a:ln>
            <a:noFill/>
          </a:ln>
          <a:effectLst>
            <a:innerShdw blurRad="114300">
              <a:srgbClr val="EA813A"/>
            </a:inn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endParaRPr lang="pt-BR" sz="1600" b="1">
              <a:solidFill>
                <a:schemeClr val="accent3">
                  <a:lumMod val="50000"/>
                </a:schemeClr>
              </a:solidFill>
              <a:effectLst>
                <a:innerShdw blurRad="63500" dist="50800" dir="13500000">
                  <a:prstClr val="black">
                    <a:alpha val="50000"/>
                  </a:prstClr>
                </a:innerShdw>
              </a:effectLst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4" name="Retângulo: Cantos Arredondados 3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SpPr/>
        </xdr:nvSpPr>
        <xdr:spPr>
          <a:xfrm>
            <a:off x="99861" y="90591"/>
            <a:ext cx="1483669" cy="254609"/>
          </a:xfrm>
          <a:prstGeom prst="roundRect">
            <a:avLst/>
          </a:prstGeom>
          <a:noFill/>
          <a:ln>
            <a:noFill/>
          </a:ln>
          <a:effectLst>
            <a:innerShdw blurRad="114300">
              <a:schemeClr val="accent4"/>
            </a:inn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600" b="1">
                <a:solidFill>
                  <a:schemeClr val="accent3">
                    <a:lumMod val="50000"/>
                  </a:schemeClr>
                </a:solidFill>
                <a:effectLst>
                  <a:innerShdw blurRad="63500" dist="50800" dir="13500000">
                    <a:prstClr val="black">
                      <a:alpha val="50000"/>
                    </a:prstClr>
                  </a:innerShdw>
                </a:effectLst>
              </a:rPr>
              <a:t>Voltar</a:t>
            </a:r>
            <a:endParaRPr lang="pt-BR" sz="1600" b="1">
              <a:solidFill>
                <a:schemeClr val="accent3">
                  <a:lumMod val="50000"/>
                </a:schemeClr>
              </a:solidFill>
            </a:endParaRPr>
          </a:p>
        </xdr:txBody>
      </xdr: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54429</xdr:colOff>
      <xdr:row>0</xdr:row>
      <xdr:rowOff>40822</xdr:rowOff>
    </xdr:from>
    <xdr:to>
      <xdr:col>0</xdr:col>
      <xdr:colOff>1333499</xdr:colOff>
      <xdr:row>1</xdr:row>
      <xdr:rowOff>204108</xdr:rowOff>
    </xdr:to>
    <xdr:grpSp>
      <xdr:nvGrpSpPr>
        <xdr:cNvPr id="5" name="Agrupar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pSpPr/>
      </xdr:nvGrpSpPr>
      <xdr:grpSpPr>
        <a:xfrm>
          <a:off x="54429" y="40822"/>
          <a:ext cx="1279070" cy="442686"/>
          <a:chOff x="0" y="0"/>
          <a:chExt cx="1583530" cy="432820"/>
        </a:xfrm>
      </xdr:grpSpPr>
      <xdr:sp macro="" textlink="">
        <xdr:nvSpPr>
          <xdr:cNvPr id="6" name="Seta: para a Esquerda 5">
            <a:extLst>
              <a:ext uri="{FF2B5EF4-FFF2-40B4-BE49-F238E27FC236}">
                <a16:creationId xmlns:a16="http://schemas.microsoft.com/office/drawing/2014/main" id="{00000000-0008-0000-0600-000006000000}"/>
              </a:ext>
            </a:extLst>
          </xdr:cNvPr>
          <xdr:cNvSpPr/>
        </xdr:nvSpPr>
        <xdr:spPr>
          <a:xfrm>
            <a:off x="0" y="0"/>
            <a:ext cx="1540733" cy="432820"/>
          </a:xfrm>
          <a:prstGeom prst="leftArrow">
            <a:avLst/>
          </a:prstGeom>
          <a:gradFill flip="none" rotWithShape="1">
            <a:gsLst>
              <a:gs pos="0">
                <a:schemeClr val="accent3">
                  <a:lumMod val="0"/>
                  <a:lumOff val="100000"/>
                </a:schemeClr>
              </a:gs>
              <a:gs pos="35000">
                <a:schemeClr val="accent3">
                  <a:lumMod val="0"/>
                  <a:lumOff val="100000"/>
                </a:schemeClr>
              </a:gs>
              <a:gs pos="100000">
                <a:schemeClr val="accent3">
                  <a:lumMod val="100000"/>
                </a:schemeClr>
              </a:gs>
            </a:gsLst>
            <a:path path="circle">
              <a:fillToRect l="50000" t="-80000" r="50000" b="180000"/>
            </a:path>
            <a:tileRect/>
          </a:gradFill>
          <a:ln>
            <a:noFill/>
          </a:ln>
          <a:effectLst>
            <a:innerShdw blurRad="114300">
              <a:schemeClr val="accent3"/>
            </a:inn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endParaRPr lang="pt-BR" sz="1600" b="1">
              <a:solidFill>
                <a:schemeClr val="accent3">
                  <a:lumMod val="50000"/>
                </a:schemeClr>
              </a:solidFill>
              <a:effectLst>
                <a:innerShdw blurRad="63500" dist="50800" dir="13500000">
                  <a:prstClr val="black">
                    <a:alpha val="50000"/>
                  </a:prstClr>
                </a:innerShdw>
              </a:effectLst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7" name="Retângulo: Cantos Arredondados 6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00000000-0008-0000-0600-000007000000}"/>
              </a:ext>
            </a:extLst>
          </xdr:cNvPr>
          <xdr:cNvSpPr/>
        </xdr:nvSpPr>
        <xdr:spPr>
          <a:xfrm>
            <a:off x="99861" y="90591"/>
            <a:ext cx="1483669" cy="254609"/>
          </a:xfrm>
          <a:prstGeom prst="roundRect">
            <a:avLst/>
          </a:prstGeom>
          <a:noFill/>
          <a:ln>
            <a:noFill/>
          </a:ln>
          <a:effectLst>
            <a:innerShdw blurRad="114300">
              <a:schemeClr val="accent4"/>
            </a:inn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600" b="1">
                <a:solidFill>
                  <a:schemeClr val="accent3">
                    <a:lumMod val="50000"/>
                  </a:schemeClr>
                </a:solidFill>
                <a:effectLst>
                  <a:innerShdw blurRad="63500" dist="50800" dir="13500000">
                    <a:prstClr val="black">
                      <a:alpha val="50000"/>
                    </a:prstClr>
                  </a:innerShdw>
                </a:effectLst>
              </a:rPr>
              <a:t>Voltar  </a:t>
            </a:r>
            <a:r>
              <a:rPr lang="pt-BR" sz="1600" b="1" baseline="0">
                <a:solidFill>
                  <a:schemeClr val="accent3">
                    <a:lumMod val="50000"/>
                  </a:schemeClr>
                </a:solidFill>
              </a:rPr>
              <a:t> </a:t>
            </a:r>
            <a:endParaRPr lang="pt-BR" sz="1600" b="1">
              <a:solidFill>
                <a:schemeClr val="accent3">
                  <a:lumMod val="50000"/>
                </a:schemeClr>
              </a:solidFill>
            </a:endParaRPr>
          </a:p>
        </xdr:txBody>
      </xdr:sp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419099</xdr:colOff>
      <xdr:row>14</xdr:row>
      <xdr:rowOff>228599</xdr:rowOff>
    </xdr:from>
    <xdr:to>
      <xdr:col>9</xdr:col>
      <xdr:colOff>419099</xdr:colOff>
      <xdr:row>26</xdr:row>
      <xdr:rowOff>142874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587830</xdr:colOff>
      <xdr:row>0</xdr:row>
      <xdr:rowOff>0</xdr:rowOff>
    </xdr:from>
    <xdr:to>
      <xdr:col>7</xdr:col>
      <xdr:colOff>0</xdr:colOff>
      <xdr:row>2</xdr:row>
      <xdr:rowOff>0</xdr:rowOff>
    </xdr:to>
    <xdr:grpSp>
      <xdr:nvGrpSpPr>
        <xdr:cNvPr id="8" name="Agrupar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GrpSpPr/>
      </xdr:nvGrpSpPr>
      <xdr:grpSpPr>
        <a:xfrm>
          <a:off x="5439230" y="0"/>
          <a:ext cx="1503437" cy="457200"/>
          <a:chOff x="0" y="0"/>
          <a:chExt cx="1583530" cy="432820"/>
        </a:xfrm>
      </xdr:grpSpPr>
      <xdr:sp macro="" textlink="">
        <xdr:nvSpPr>
          <xdr:cNvPr id="9" name="Seta: para a Esquerda 8">
            <a:extLst>
              <a:ext uri="{FF2B5EF4-FFF2-40B4-BE49-F238E27FC236}">
                <a16:creationId xmlns:a16="http://schemas.microsoft.com/office/drawing/2014/main" id="{00000000-0008-0000-0700-000009000000}"/>
              </a:ext>
            </a:extLst>
          </xdr:cNvPr>
          <xdr:cNvSpPr/>
        </xdr:nvSpPr>
        <xdr:spPr>
          <a:xfrm>
            <a:off x="0" y="0"/>
            <a:ext cx="1540733" cy="432820"/>
          </a:xfrm>
          <a:prstGeom prst="leftArrow">
            <a:avLst/>
          </a:prstGeom>
          <a:gradFill flip="none" rotWithShape="1">
            <a:gsLst>
              <a:gs pos="0">
                <a:schemeClr val="accent3">
                  <a:lumMod val="0"/>
                  <a:lumOff val="100000"/>
                </a:schemeClr>
              </a:gs>
              <a:gs pos="35000">
                <a:schemeClr val="accent3">
                  <a:lumMod val="0"/>
                  <a:lumOff val="100000"/>
                </a:schemeClr>
              </a:gs>
              <a:gs pos="100000">
                <a:schemeClr val="accent3">
                  <a:lumMod val="100000"/>
                </a:schemeClr>
              </a:gs>
            </a:gsLst>
            <a:path path="circle">
              <a:fillToRect l="50000" t="-80000" r="50000" b="180000"/>
            </a:path>
            <a:tileRect/>
          </a:gradFill>
          <a:ln>
            <a:noFill/>
          </a:ln>
          <a:effectLst>
            <a:innerShdw blurRad="114300">
              <a:schemeClr val="accent3"/>
            </a:inn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endParaRPr lang="pt-BR" sz="1600" b="1">
              <a:solidFill>
                <a:schemeClr val="accent3">
                  <a:lumMod val="50000"/>
                </a:schemeClr>
              </a:solidFill>
              <a:effectLst>
                <a:innerShdw blurRad="63500" dist="50800" dir="13500000">
                  <a:prstClr val="black">
                    <a:alpha val="50000"/>
                  </a:prstClr>
                </a:innerShdw>
              </a:effectLst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10" name="Retângulo: Cantos Arredondados 9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00000000-0008-0000-0700-00000A000000}"/>
              </a:ext>
            </a:extLst>
          </xdr:cNvPr>
          <xdr:cNvSpPr/>
        </xdr:nvSpPr>
        <xdr:spPr>
          <a:xfrm>
            <a:off x="99861" y="90591"/>
            <a:ext cx="1483669" cy="254609"/>
          </a:xfrm>
          <a:prstGeom prst="roundRect">
            <a:avLst/>
          </a:prstGeom>
          <a:noFill/>
          <a:ln>
            <a:noFill/>
          </a:ln>
          <a:effectLst>
            <a:innerShdw blurRad="114300">
              <a:schemeClr val="accent4"/>
            </a:inn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600" b="1">
                <a:solidFill>
                  <a:schemeClr val="accent3">
                    <a:lumMod val="50000"/>
                  </a:schemeClr>
                </a:solidFill>
                <a:effectLst>
                  <a:innerShdw blurRad="63500" dist="50800" dir="13500000">
                    <a:prstClr val="black">
                      <a:alpha val="50000"/>
                    </a:prstClr>
                  </a:innerShdw>
                </a:effectLst>
              </a:rPr>
              <a:t>Voltar  </a:t>
            </a:r>
            <a:r>
              <a:rPr lang="pt-BR" sz="1600" b="1" baseline="0">
                <a:solidFill>
                  <a:schemeClr val="accent3">
                    <a:lumMod val="50000"/>
                  </a:schemeClr>
                </a:solidFill>
              </a:rPr>
              <a:t> </a:t>
            </a:r>
            <a:endParaRPr lang="pt-BR" sz="1600" b="1">
              <a:solidFill>
                <a:schemeClr val="accent3">
                  <a:lumMod val="50000"/>
                </a:schemeClr>
              </a:solidFill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showGridLines="0" showRowColHeaders="0" zoomScaleNormal="100" workbookViewId="0">
      <selection activeCell="T7" sqref="T7"/>
    </sheetView>
  </sheetViews>
  <sheetFormatPr defaultColWidth="9.109375" defaultRowHeight="15" x14ac:dyDescent="0.35"/>
  <cols>
    <col min="1" max="11" width="9.109375" style="125"/>
    <col min="12" max="12" width="5.109375" style="125" customWidth="1"/>
    <col min="13" max="16384" width="9.109375" style="125"/>
  </cols>
  <sheetData>
    <row r="1" spans="1:1" x14ac:dyDescent="0.35">
      <c r="A1" s="125" t="s">
        <v>0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V40"/>
  <sheetViews>
    <sheetView showGridLines="0" tabSelected="1" topLeftCell="A6" zoomScale="80" zoomScaleNormal="80" workbookViewId="0">
      <selection activeCell="E36" sqref="E36"/>
    </sheetView>
  </sheetViews>
  <sheetFormatPr defaultColWidth="8.88671875" defaultRowHeight="19.2" x14ac:dyDescent="0.45"/>
  <cols>
    <col min="1" max="1" width="22" style="3" bestFit="1" customWidth="1"/>
    <col min="2" max="6" width="22.109375" style="3" bestFit="1" customWidth="1"/>
    <col min="7" max="8" width="13.109375" style="3" bestFit="1" customWidth="1"/>
    <col min="9" max="9" width="10.109375" style="3" bestFit="1" customWidth="1"/>
    <col min="10" max="16384" width="8.88671875" style="3"/>
  </cols>
  <sheetData>
    <row r="1" spans="1:22" ht="15.6" customHeight="1" x14ac:dyDescent="0.45">
      <c r="A1" s="1" t="s">
        <v>1</v>
      </c>
      <c r="B1" s="1"/>
      <c r="C1" s="1"/>
      <c r="D1" s="1"/>
      <c r="E1" s="1"/>
      <c r="F1" s="1"/>
      <c r="G1" s="1"/>
      <c r="H1" s="1"/>
      <c r="I1" s="1"/>
    </row>
    <row r="2" spans="1:22" x14ac:dyDescent="0.45">
      <c r="A2" s="4" t="s">
        <v>2</v>
      </c>
      <c r="B2" s="4"/>
      <c r="C2" s="4"/>
      <c r="D2" s="4"/>
      <c r="E2" s="5"/>
      <c r="F2" s="5"/>
      <c r="G2" s="5"/>
      <c r="H2" s="5"/>
      <c r="I2" s="5"/>
    </row>
    <row r="3" spans="1:22" ht="39" thickBot="1" x14ac:dyDescent="0.5">
      <c r="A3" s="6" t="s">
        <v>3</v>
      </c>
      <c r="B3" s="7">
        <v>2022</v>
      </c>
      <c r="C3" s="7">
        <v>2023</v>
      </c>
      <c r="D3" s="7">
        <v>2024</v>
      </c>
      <c r="E3" s="7">
        <v>2025</v>
      </c>
      <c r="F3" s="7" t="s">
        <v>126</v>
      </c>
      <c r="G3" s="8" t="s">
        <v>116</v>
      </c>
      <c r="H3" s="8" t="s">
        <v>122</v>
      </c>
      <c r="I3" s="9" t="s">
        <v>4</v>
      </c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</row>
    <row r="4" spans="1:22" ht="21" customHeight="1" thickTop="1" x14ac:dyDescent="0.45">
      <c r="A4" s="11" t="s">
        <v>5</v>
      </c>
      <c r="B4" s="12">
        <v>35396435937.442894</v>
      </c>
      <c r="C4" s="12">
        <v>32149512164.21397</v>
      </c>
      <c r="D4" s="12">
        <v>34008182344.765511</v>
      </c>
      <c r="E4" s="12">
        <v>35603217508.444054</v>
      </c>
      <c r="F4" s="12">
        <v>30342869333.333336</v>
      </c>
      <c r="G4" s="13">
        <v>4.6901511745277125</v>
      </c>
      <c r="H4" s="13">
        <v>-14.774923569374355</v>
      </c>
      <c r="I4" s="14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</row>
    <row r="5" spans="1:22" ht="21" customHeight="1" x14ac:dyDescent="0.45">
      <c r="A5" s="16" t="s">
        <v>6</v>
      </c>
      <c r="B5" s="17">
        <v>3635305568.165071</v>
      </c>
      <c r="C5" s="17">
        <v>4629435589.6969852</v>
      </c>
      <c r="D5" s="17">
        <v>4366852845.2333794</v>
      </c>
      <c r="E5" s="17">
        <v>6215059326.423564</v>
      </c>
      <c r="F5" s="17">
        <v>5315520384</v>
      </c>
      <c r="G5" s="18">
        <v>42.323534744423256</v>
      </c>
      <c r="H5" s="18">
        <v>-14.473537502677402</v>
      </c>
      <c r="I5" s="19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</row>
    <row r="6" spans="1:22" ht="21" customHeight="1" x14ac:dyDescent="0.45">
      <c r="A6" s="11" t="s">
        <v>7</v>
      </c>
      <c r="B6" s="12">
        <v>17331035436.343994</v>
      </c>
      <c r="C6" s="12">
        <v>21476263346.70393</v>
      </c>
      <c r="D6" s="12">
        <v>24898835538.881874</v>
      </c>
      <c r="E6" s="12">
        <v>20812078087.03199</v>
      </c>
      <c r="F6" s="12">
        <v>14471891389.587498</v>
      </c>
      <c r="G6" s="13">
        <v>-16.413448112736152</v>
      </c>
      <c r="H6" s="13">
        <v>-30.463977075864733</v>
      </c>
      <c r="I6" s="14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</row>
    <row r="7" spans="1:22" ht="21" customHeight="1" x14ac:dyDescent="0.45">
      <c r="A7" s="16" t="s">
        <v>8</v>
      </c>
      <c r="B7" s="17">
        <v>16141481754.661379</v>
      </c>
      <c r="C7" s="17">
        <v>18547695586.321472</v>
      </c>
      <c r="D7" s="17">
        <v>22143275592.886208</v>
      </c>
      <c r="E7" s="17">
        <v>21303747215.189968</v>
      </c>
      <c r="F7" s="17">
        <v>22281708900.485756</v>
      </c>
      <c r="G7" s="18">
        <v>-3.7913468320195043</v>
      </c>
      <c r="H7" s="18">
        <v>4.5905618172115803</v>
      </c>
      <c r="I7" s="19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</row>
    <row r="8" spans="1:22" ht="21" customHeight="1" x14ac:dyDescent="0.45">
      <c r="A8" s="11" t="s">
        <v>9</v>
      </c>
      <c r="B8" s="12">
        <v>11523667763.303925</v>
      </c>
      <c r="C8" s="12">
        <v>12398671706.859926</v>
      </c>
      <c r="D8" s="12">
        <v>19450512030.229618</v>
      </c>
      <c r="E8" s="12">
        <v>9011384410.472908</v>
      </c>
      <c r="F8" s="12">
        <v>8294255696.2857151</v>
      </c>
      <c r="G8" s="13">
        <v>-53.670194406874302</v>
      </c>
      <c r="H8" s="13">
        <v>-7.9580304370741928</v>
      </c>
      <c r="I8" s="14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</row>
    <row r="9" spans="1:22" ht="21" customHeight="1" x14ac:dyDescent="0.45">
      <c r="A9" s="16" t="s">
        <v>10</v>
      </c>
      <c r="B9" s="17">
        <v>3362714609.0830388</v>
      </c>
      <c r="C9" s="17">
        <v>4346733389.1344767</v>
      </c>
      <c r="D9" s="17">
        <v>11056930618.043995</v>
      </c>
      <c r="E9" s="17">
        <v>11577882705.171255</v>
      </c>
      <c r="F9" s="17">
        <v>7680636642.8000002</v>
      </c>
      <c r="G9" s="18">
        <v>4.7115434212557039</v>
      </c>
      <c r="H9" s="18">
        <v>-33.661129254924582</v>
      </c>
      <c r="I9" s="19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</row>
    <row r="10" spans="1:22" ht="21" customHeight="1" x14ac:dyDescent="0.45">
      <c r="A10" s="11" t="s">
        <v>11</v>
      </c>
      <c r="B10" s="12">
        <v>57180324191.025101</v>
      </c>
      <c r="C10" s="12">
        <v>52236507278.343582</v>
      </c>
      <c r="D10" s="12">
        <v>78793199716.324554</v>
      </c>
      <c r="E10" s="12">
        <v>114827374325.99298</v>
      </c>
      <c r="F10" s="12">
        <v>116273533842.66667</v>
      </c>
      <c r="G10" s="13">
        <v>45.732594614002942</v>
      </c>
      <c r="H10" s="13">
        <v>1.2594205215979759</v>
      </c>
      <c r="I10" s="14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</row>
    <row r="11" spans="1:22" ht="21" customHeight="1" x14ac:dyDescent="0.45">
      <c r="A11" s="16" t="s">
        <v>12</v>
      </c>
      <c r="B11" s="17">
        <v>101553921535.76878</v>
      </c>
      <c r="C11" s="17">
        <v>120292332125.63486</v>
      </c>
      <c r="D11" s="17">
        <v>120240112822.90276</v>
      </c>
      <c r="E11" s="17">
        <v>116964939389.5394</v>
      </c>
      <c r="F11" s="17">
        <v>103895016482.39998</v>
      </c>
      <c r="G11" s="18">
        <v>-2.7238609116969514</v>
      </c>
      <c r="H11" s="18">
        <v>-11.174222784497346</v>
      </c>
      <c r="I11" s="19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</row>
    <row r="12" spans="1:22" ht="21" customHeight="1" x14ac:dyDescent="0.45">
      <c r="A12" s="11" t="s">
        <v>13</v>
      </c>
      <c r="B12" s="12">
        <v>15731984173.186665</v>
      </c>
      <c r="C12" s="12">
        <v>15813788670.235239</v>
      </c>
      <c r="D12" s="12">
        <v>14798249690.144484</v>
      </c>
      <c r="E12" s="12">
        <v>11761655985.000895</v>
      </c>
      <c r="F12" s="12">
        <v>12744830103.012695</v>
      </c>
      <c r="G12" s="13">
        <v>-20.519951810016668</v>
      </c>
      <c r="H12" s="13">
        <v>8.3591470390359746</v>
      </c>
      <c r="I12" s="14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</row>
    <row r="13" spans="1:22" ht="21" customHeight="1" x14ac:dyDescent="0.45">
      <c r="A13" s="16" t="s">
        <v>14</v>
      </c>
      <c r="B13" s="17">
        <v>17817141451.604546</v>
      </c>
      <c r="C13" s="17">
        <v>21846476669.340584</v>
      </c>
      <c r="D13" s="17">
        <v>28282401348.566231</v>
      </c>
      <c r="E13" s="17">
        <v>24379730731.437035</v>
      </c>
      <c r="F13" s="17">
        <v>15566734609.338612</v>
      </c>
      <c r="G13" s="18">
        <v>-13.798936550792707</v>
      </c>
      <c r="H13" s="18">
        <v>-36.148865708078937</v>
      </c>
      <c r="I13" s="19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</row>
    <row r="14" spans="1:22" ht="21" customHeight="1" x14ac:dyDescent="0.45">
      <c r="A14" s="11" t="s">
        <v>15</v>
      </c>
      <c r="B14" s="12">
        <v>127381628.96470219</v>
      </c>
      <c r="C14" s="12">
        <v>108898341.27018768</v>
      </c>
      <c r="D14" s="12">
        <v>123103289.32782713</v>
      </c>
      <c r="E14" s="12">
        <v>155041263.30838019</v>
      </c>
      <c r="F14" s="133" t="s">
        <v>111</v>
      </c>
      <c r="G14" s="13">
        <v>25.944045975490916</v>
      </c>
      <c r="H14" s="13" t="s">
        <v>111</v>
      </c>
      <c r="I14" s="14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</row>
    <row r="15" spans="1:22" ht="21" customHeight="1" x14ac:dyDescent="0.45">
      <c r="A15" s="16" t="s">
        <v>16</v>
      </c>
      <c r="B15" s="17">
        <v>14882394704.977364</v>
      </c>
      <c r="C15" s="17">
        <v>21403686032.00679</v>
      </c>
      <c r="D15" s="17">
        <v>19425671295.994221</v>
      </c>
      <c r="E15" s="17">
        <v>19799917360.375584</v>
      </c>
      <c r="F15" s="17">
        <v>25120639513.132141</v>
      </c>
      <c r="G15" s="18">
        <v>1.9265540875209597</v>
      </c>
      <c r="H15" s="18">
        <v>26.872446262854655</v>
      </c>
      <c r="I15" s="19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</row>
    <row r="16" spans="1:22" ht="21" customHeight="1" x14ac:dyDescent="0.45">
      <c r="A16" s="11" t="s">
        <v>17</v>
      </c>
      <c r="B16" s="12">
        <v>153441401506.73236</v>
      </c>
      <c r="C16" s="12">
        <v>151498541925.32376</v>
      </c>
      <c r="D16" s="12">
        <v>125210093548.80785</v>
      </c>
      <c r="E16" s="12">
        <v>166462983745.35065</v>
      </c>
      <c r="F16" s="12">
        <v>154625840277.31018</v>
      </c>
      <c r="G16" s="13">
        <v>32.946936646494976</v>
      </c>
      <c r="H16" s="13">
        <v>-7.1109763874883551</v>
      </c>
      <c r="I16" s="14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</row>
    <row r="17" spans="1:22" ht="21" customHeight="1" x14ac:dyDescent="0.45">
      <c r="A17" s="16" t="s">
        <v>18</v>
      </c>
      <c r="B17" s="17">
        <v>345925538594.89606</v>
      </c>
      <c r="C17" s="17">
        <v>354161451781.9765</v>
      </c>
      <c r="D17" s="17">
        <v>297862912909.82281</v>
      </c>
      <c r="E17" s="17">
        <v>329753593607.43884</v>
      </c>
      <c r="F17" s="17">
        <v>342093144170.19611</v>
      </c>
      <c r="G17" s="18">
        <v>10.706495946768246</v>
      </c>
      <c r="H17" s="18">
        <v>3.7420518841857042</v>
      </c>
      <c r="I17" s="19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</row>
    <row r="18" spans="1:22" ht="21" customHeight="1" x14ac:dyDescent="0.45">
      <c r="A18" s="11" t="s">
        <v>19</v>
      </c>
      <c r="B18" s="12">
        <v>15315824802.394648</v>
      </c>
      <c r="C18" s="12">
        <v>18868399455.720722</v>
      </c>
      <c r="D18" s="12">
        <v>20477430218.532871</v>
      </c>
      <c r="E18" s="12">
        <v>20557729932.354504</v>
      </c>
      <c r="F18" s="12">
        <v>17412295669.308109</v>
      </c>
      <c r="G18" s="13">
        <v>0.3921376508901897</v>
      </c>
      <c r="H18" s="13">
        <v>-15.30049413722473</v>
      </c>
      <c r="I18" s="14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</row>
    <row r="19" spans="1:22" ht="21" customHeight="1" x14ac:dyDescent="0.45">
      <c r="A19" s="16" t="s">
        <v>20</v>
      </c>
      <c r="B19" s="17">
        <v>18891610992.791767</v>
      </c>
      <c r="C19" s="17">
        <v>11016161812.270468</v>
      </c>
      <c r="D19" s="17">
        <v>10505574033.052458</v>
      </c>
      <c r="E19" s="17">
        <v>10423754023.36677</v>
      </c>
      <c r="F19" s="17">
        <v>8615311173.3999996</v>
      </c>
      <c r="G19" s="18">
        <v>-0.77882474035466664</v>
      </c>
      <c r="H19" s="18">
        <v>-17.349247170576088</v>
      </c>
      <c r="I19" s="19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</row>
    <row r="20" spans="1:22" ht="21" customHeight="1" x14ac:dyDescent="0.45">
      <c r="A20" s="11" t="s">
        <v>21</v>
      </c>
      <c r="B20" s="12">
        <v>6663472291.0371447</v>
      </c>
      <c r="C20" s="12">
        <v>8073616361.9076023</v>
      </c>
      <c r="D20" s="12">
        <v>11175238808.495129</v>
      </c>
      <c r="E20" s="12">
        <v>12731642898.238594</v>
      </c>
      <c r="F20" s="12">
        <v>10577143007.999998</v>
      </c>
      <c r="G20" s="13">
        <v>13.927255751888957</v>
      </c>
      <c r="H20" s="13">
        <v>-16.922402768119326</v>
      </c>
      <c r="I20" s="14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</row>
    <row r="21" spans="1:22" ht="21" customHeight="1" thickBot="1" x14ac:dyDescent="0.5">
      <c r="A21" s="20" t="s">
        <v>22</v>
      </c>
      <c r="B21" s="21">
        <v>834921636942.37939</v>
      </c>
      <c r="C21" s="21">
        <v>868868172236.96106</v>
      </c>
      <c r="D21" s="21">
        <v>842818576652.01172</v>
      </c>
      <c r="E21" s="21">
        <v>932341732515.13757</v>
      </c>
      <c r="F21" s="21">
        <v>895311371195.25684</v>
      </c>
      <c r="G21" s="22">
        <v>10.621877393678837</v>
      </c>
      <c r="H21" s="22">
        <v>-3.9717584259567063</v>
      </c>
      <c r="I21" s="23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</row>
    <row r="22" spans="1:22" ht="21" customHeight="1" thickTop="1" x14ac:dyDescent="0.45">
      <c r="A22" s="11" t="s">
        <v>23</v>
      </c>
      <c r="B22" s="12">
        <v>157822383907.22458</v>
      </c>
      <c r="C22" s="12">
        <v>150673805116.86316</v>
      </c>
      <c r="D22" s="12">
        <v>170496083584.68811</v>
      </c>
      <c r="E22" s="12">
        <v>211905890643.06467</v>
      </c>
      <c r="F22" s="12">
        <v>218700052666.68539</v>
      </c>
      <c r="G22" s="13">
        <v>24.287834762965478</v>
      </c>
      <c r="H22" s="13">
        <v>3.2062166856252405</v>
      </c>
      <c r="I22" s="14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</row>
    <row r="23" spans="1:22" ht="21" customHeight="1" x14ac:dyDescent="0.45">
      <c r="A23" s="16" t="s">
        <v>24</v>
      </c>
      <c r="B23" s="17">
        <v>41692397842.071579</v>
      </c>
      <c r="C23" s="17">
        <v>47701138294.37809</v>
      </c>
      <c r="D23" s="17">
        <v>55945671236.461449</v>
      </c>
      <c r="E23" s="17">
        <v>63149913882.133118</v>
      </c>
      <c r="F23" s="17">
        <v>60348533394.317467</v>
      </c>
      <c r="G23" s="18">
        <v>12.877211920868771</v>
      </c>
      <c r="H23" s="18">
        <v>-4.4360796644066998</v>
      </c>
      <c r="I23" s="19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</row>
    <row r="24" spans="1:22" ht="21" customHeight="1" x14ac:dyDescent="0.45">
      <c r="A24" s="11" t="s">
        <v>25</v>
      </c>
      <c r="B24" s="12">
        <v>99332467365.306793</v>
      </c>
      <c r="C24" s="12">
        <v>95982288950.116257</v>
      </c>
      <c r="D24" s="12">
        <v>106822326633.2894</v>
      </c>
      <c r="E24" s="12">
        <v>112673034373.27176</v>
      </c>
      <c r="F24" s="12">
        <v>104303974921.92</v>
      </c>
      <c r="G24" s="13">
        <v>5.4770457865678912</v>
      </c>
      <c r="H24" s="13">
        <v>-7.4277394745810295</v>
      </c>
      <c r="I24" s="14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</row>
    <row r="25" spans="1:22" ht="21" customHeight="1" x14ac:dyDescent="0.45">
      <c r="A25" s="16" t="s">
        <v>26</v>
      </c>
      <c r="B25" s="17">
        <v>60032683440.823013</v>
      </c>
      <c r="C25" s="17">
        <v>67506924696.144119</v>
      </c>
      <c r="D25" s="17">
        <v>68406441810.614151</v>
      </c>
      <c r="E25" s="17">
        <v>72799315206.319504</v>
      </c>
      <c r="F25" s="17">
        <v>69854337334.444443</v>
      </c>
      <c r="G25" s="18">
        <v>6.4217247373678399</v>
      </c>
      <c r="H25" s="18">
        <v>-4.0453373270459174</v>
      </c>
      <c r="I25" s="19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</row>
    <row r="26" spans="1:22" ht="21" customHeight="1" x14ac:dyDescent="0.45">
      <c r="A26" s="11" t="s">
        <v>27</v>
      </c>
      <c r="B26" s="12">
        <v>21368004523.209389</v>
      </c>
      <c r="C26" s="12">
        <v>26329963052.183319</v>
      </c>
      <c r="D26" s="12">
        <v>26789690002.396629</v>
      </c>
      <c r="E26" s="12">
        <v>29273242925.919876</v>
      </c>
      <c r="F26" s="12">
        <v>22121393023.333332</v>
      </c>
      <c r="G26" s="13">
        <v>9.2705549160929657</v>
      </c>
      <c r="H26" s="13">
        <v>-24.431355011418866</v>
      </c>
      <c r="I26" s="14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</row>
    <row r="27" spans="1:22" ht="21" customHeight="1" thickBot="1" x14ac:dyDescent="0.5">
      <c r="A27" s="20" t="s">
        <v>28</v>
      </c>
      <c r="B27" s="21">
        <v>380247937078.63531</v>
      </c>
      <c r="C27" s="21">
        <v>388194120109.68494</v>
      </c>
      <c r="D27" s="21">
        <v>428460213267.44971</v>
      </c>
      <c r="E27" s="21">
        <v>489801397030.70886</v>
      </c>
      <c r="F27" s="21">
        <v>475328291340.70062</v>
      </c>
      <c r="G27" s="22">
        <v>14.316658084882494</v>
      </c>
      <c r="H27" s="22">
        <v>-2.9548926927827512</v>
      </c>
      <c r="I27" s="23"/>
      <c r="J27" s="10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0"/>
    </row>
    <row r="28" spans="1:22" ht="21" customHeight="1" thickTop="1" thickBot="1" x14ac:dyDescent="0.5">
      <c r="A28" s="24" t="s">
        <v>29</v>
      </c>
      <c r="B28" s="25">
        <v>1215169574021.0146</v>
      </c>
      <c r="C28" s="25">
        <v>1257062292346.646</v>
      </c>
      <c r="D28" s="25">
        <v>1271278789919.4614</v>
      </c>
      <c r="E28" s="25">
        <v>1422143129545.8464</v>
      </c>
      <c r="F28" s="25">
        <v>1370639662535.9575</v>
      </c>
      <c r="G28" s="26">
        <v>11.867132592996587</v>
      </c>
      <c r="H28" s="26">
        <v>-3.6215389252934216</v>
      </c>
      <c r="I28" s="27"/>
      <c r="J28" s="28"/>
      <c r="K28" s="10"/>
      <c r="L28" s="15"/>
      <c r="M28" s="10"/>
      <c r="N28" s="10"/>
      <c r="O28" s="10"/>
      <c r="P28" s="10"/>
      <c r="Q28" s="10"/>
      <c r="R28" s="10"/>
      <c r="S28" s="10"/>
      <c r="T28" s="10"/>
      <c r="U28" s="10"/>
      <c r="V28" s="10"/>
    </row>
    <row r="29" spans="1:22" s="30" customFormat="1" ht="25.5" customHeight="1" thickTop="1" x14ac:dyDescent="0.25">
      <c r="A29" s="144" t="s">
        <v>129</v>
      </c>
      <c r="B29" s="144"/>
      <c r="C29" s="144"/>
      <c r="D29" s="144"/>
      <c r="E29" s="144"/>
      <c r="F29" s="144"/>
      <c r="G29" s="144"/>
      <c r="H29" s="144"/>
      <c r="I29" s="144"/>
      <c r="J29" s="144"/>
      <c r="K29" s="144"/>
      <c r="L29" s="144"/>
      <c r="M29" s="144"/>
      <c r="N29" s="144"/>
      <c r="O29" s="144"/>
      <c r="P29" s="144"/>
      <c r="Q29" s="144"/>
      <c r="R29" s="144"/>
      <c r="S29" s="144"/>
      <c r="T29" s="144"/>
      <c r="U29" s="144"/>
      <c r="V29" s="144"/>
    </row>
    <row r="30" spans="1:22" s="30" customFormat="1" ht="16.5" customHeight="1" x14ac:dyDescent="0.25">
      <c r="A30" s="144" t="s">
        <v>132</v>
      </c>
      <c r="B30" s="144"/>
      <c r="C30" s="144"/>
      <c r="D30" s="144"/>
      <c r="E30" s="144"/>
      <c r="F30" s="144"/>
      <c r="G30" s="144"/>
      <c r="H30" s="144"/>
      <c r="I30" s="144"/>
      <c r="J30" s="144"/>
      <c r="K30" s="144"/>
      <c r="L30" s="144"/>
      <c r="M30" s="144"/>
      <c r="N30" s="144"/>
      <c r="O30" s="144"/>
      <c r="P30" s="144"/>
      <c r="Q30" s="144"/>
      <c r="R30" s="144"/>
      <c r="S30" s="144"/>
      <c r="T30" s="144"/>
      <c r="U30" s="144"/>
      <c r="V30" s="144"/>
    </row>
    <row r="31" spans="1:22" s="30" customFormat="1" ht="33.75" customHeight="1" x14ac:dyDescent="0.25">
      <c r="A31" s="144" t="s">
        <v>114</v>
      </c>
      <c r="B31" s="146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146"/>
      <c r="P31" s="146"/>
      <c r="Q31" s="146"/>
      <c r="R31" s="146"/>
      <c r="S31" s="146"/>
      <c r="T31" s="146"/>
      <c r="U31" s="146"/>
      <c r="V31" s="146"/>
    </row>
    <row r="32" spans="1:22" s="2" customFormat="1" ht="29.25" customHeight="1" x14ac:dyDescent="0.35">
      <c r="A32" s="147" t="s">
        <v>30</v>
      </c>
      <c r="B32" s="147"/>
      <c r="C32" s="147"/>
      <c r="D32" s="147"/>
      <c r="E32" s="147"/>
      <c r="F32" s="147"/>
      <c r="G32" s="147"/>
      <c r="H32" s="147"/>
      <c r="I32" s="147"/>
      <c r="J32" s="147"/>
      <c r="K32" s="147"/>
      <c r="L32" s="147"/>
      <c r="M32" s="147"/>
      <c r="N32" s="147"/>
      <c r="O32" s="147"/>
      <c r="P32" s="147"/>
      <c r="Q32" s="147"/>
      <c r="R32" s="147"/>
      <c r="S32" s="147"/>
      <c r="T32" s="147"/>
      <c r="U32" s="147"/>
      <c r="V32" s="147"/>
    </row>
    <row r="33" spans="1:22" s="2" customFormat="1" ht="14.25" customHeight="1" x14ac:dyDescent="0.35">
      <c r="A33" s="144" t="s">
        <v>31</v>
      </c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  <c r="N33" s="144"/>
      <c r="O33" s="144"/>
      <c r="P33" s="144"/>
      <c r="Q33" s="144"/>
      <c r="R33" s="144"/>
      <c r="S33" s="144"/>
      <c r="T33" s="144"/>
      <c r="U33" s="144"/>
      <c r="V33" s="144"/>
    </row>
    <row r="34" spans="1:22" s="2" customFormat="1" ht="15" x14ac:dyDescent="0.35">
      <c r="A34" s="145" t="s">
        <v>32</v>
      </c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145"/>
      <c r="O34" s="145"/>
      <c r="P34" s="145"/>
      <c r="Q34" s="145"/>
      <c r="R34" s="145"/>
      <c r="S34" s="145"/>
      <c r="T34" s="145"/>
      <c r="U34" s="145"/>
    </row>
    <row r="35" spans="1:22" s="2" customFormat="1" ht="15" x14ac:dyDescent="0.35">
      <c r="A35" s="30" t="s">
        <v>130</v>
      </c>
      <c r="B35" s="30"/>
      <c r="C35" s="30"/>
      <c r="D35" s="126"/>
      <c r="E35" s="126"/>
      <c r="F35" s="126"/>
      <c r="G35" s="126"/>
      <c r="H35" s="126"/>
      <c r="I35" s="126"/>
      <c r="J35" s="126"/>
      <c r="K35" s="126"/>
      <c r="L35" s="126"/>
      <c r="M35" s="126"/>
      <c r="N35" s="126"/>
      <c r="O35" s="126"/>
      <c r="P35" s="126"/>
      <c r="Q35" s="126"/>
      <c r="R35" s="126"/>
      <c r="S35" s="126"/>
      <c r="T35" s="126"/>
      <c r="U35" s="126"/>
    </row>
    <row r="36" spans="1:22" s="2" customFormat="1" ht="15" x14ac:dyDescent="0.35">
      <c r="A36" s="30" t="s">
        <v>133</v>
      </c>
      <c r="B36" s="30"/>
      <c r="C36" s="30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</row>
    <row r="37" spans="1:22" s="2" customFormat="1" ht="15" x14ac:dyDescent="0.35">
      <c r="A37" s="128" t="s">
        <v>33</v>
      </c>
      <c r="B37" s="128"/>
      <c r="C37" s="30"/>
      <c r="D37" s="126"/>
      <c r="E37" s="126"/>
      <c r="F37" s="126"/>
      <c r="G37" s="126"/>
      <c r="H37" s="126"/>
      <c r="I37" s="126"/>
      <c r="J37" s="126"/>
      <c r="K37" s="126"/>
      <c r="L37" s="126"/>
      <c r="M37" s="126"/>
      <c r="N37" s="126"/>
      <c r="O37" s="126"/>
      <c r="P37" s="126"/>
      <c r="Q37" s="126"/>
      <c r="R37" s="126"/>
      <c r="S37" s="126"/>
      <c r="T37" s="126"/>
      <c r="U37" s="126"/>
    </row>
    <row r="38" spans="1:22" s="2" customFormat="1" ht="15" x14ac:dyDescent="0.35">
      <c r="A38" s="128" t="s">
        <v>34</v>
      </c>
      <c r="B38" s="128"/>
      <c r="C38" s="30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</row>
    <row r="39" spans="1:22" s="2" customFormat="1" ht="15" x14ac:dyDescent="0.35">
      <c r="A39" s="128" t="s">
        <v>115</v>
      </c>
      <c r="B39" s="128"/>
      <c r="C39" s="30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</row>
    <row r="40" spans="1:22" ht="17.25" customHeight="1" x14ac:dyDescent="0.45">
      <c r="A40" s="144" t="s">
        <v>118</v>
      </c>
      <c r="B40" s="144"/>
    </row>
  </sheetData>
  <mergeCells count="7">
    <mergeCell ref="A33:V33"/>
    <mergeCell ref="A34:U34"/>
    <mergeCell ref="A40:B40"/>
    <mergeCell ref="A29:V29"/>
    <mergeCell ref="A30:V30"/>
    <mergeCell ref="A31:V31"/>
    <mergeCell ref="A32:V32"/>
  </mergeCells>
  <printOptions horizontalCentered="1"/>
  <pageMargins left="0.39370078740157483" right="0.39370078740157483" top="0.78740157480314965" bottom="0.78740157480314965" header="0.31496062992125984" footer="0.31496062992125984"/>
  <pageSetup paperSize="9" scale="49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3" id="{F2FA7DE0-318B-40ED-B5C0-0340D21669C1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G4</xm:sqref>
        </x14:conditionalFormatting>
        <x14:conditionalFormatting xmlns:xm="http://schemas.microsoft.com/office/excel/2006/main">
          <x14:cfRule type="iconSet" priority="34" id="{FF45A485-9BE3-4BFD-9345-DEE78D7FFD29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G5:G11 G21:G28</xm:sqref>
        </x14:conditionalFormatting>
        <x14:conditionalFormatting xmlns:xm="http://schemas.microsoft.com/office/excel/2006/main">
          <x14:cfRule type="iconSet" priority="1" id="{6EA7A9A6-68EC-40D8-B3D6-946E746377D7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G12:G20</xm:sqref>
        </x14:conditionalFormatting>
        <x14:conditionalFormatting xmlns:xm="http://schemas.microsoft.com/office/excel/2006/main">
          <x14:cfRule type="iconSet" priority="4" id="{01DAE967-EA37-449D-ABBD-5D173A0C2BA2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H4</xm:sqref>
        </x14:conditionalFormatting>
        <x14:conditionalFormatting xmlns:xm="http://schemas.microsoft.com/office/excel/2006/main">
          <x14:cfRule type="iconSet" priority="36" id="{E8A45179-22B6-4C31-8133-D3722E1C6820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H5:H11 H21:H28</xm:sqref>
        </x14:conditionalFormatting>
        <x14:conditionalFormatting xmlns:xm="http://schemas.microsoft.com/office/excel/2006/main">
          <x14:cfRule type="iconSet" priority="2" id="{FE888E44-EB0B-4458-9915-89CEEB29D08E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H12:H20</xm:sqref>
        </x14:conditionalFormatting>
      </x14:conditionalFormattings>
    </ext>
    <ext xmlns:x14="http://schemas.microsoft.com/office/spreadsheetml/2009/9/main" uri="{05C60535-1F16-4fd2-B633-F4F36F0B64E0}">
      <x14:sparklineGroups xmlns:xm="http://schemas.microsoft.com/office/excel/2006/main">
        <x14:sparklineGroup manualMax="0" manualMin="0" displayEmptyCellsAs="span" xr2:uid="{00000000-0003-0000-0100-00000000000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VBP!B4:D4</xm:f>
              <xm:sqref>I4</xm:sqref>
            </x14:sparkline>
            <x14:sparkline>
              <xm:f>VBP!B5:D5</xm:f>
              <xm:sqref>I5</xm:sqref>
            </x14:sparkline>
            <x14:sparkline>
              <xm:f>VBP!B6:D6</xm:f>
              <xm:sqref>I6</xm:sqref>
            </x14:sparkline>
            <x14:sparkline>
              <xm:f>VBP!B7:D7</xm:f>
              <xm:sqref>I7</xm:sqref>
            </x14:sparkline>
            <x14:sparkline>
              <xm:f>VBP!B8:D8</xm:f>
              <xm:sqref>I8</xm:sqref>
            </x14:sparkline>
            <x14:sparkline>
              <xm:f>VBP!B9:D9</xm:f>
              <xm:sqref>I9</xm:sqref>
            </x14:sparkline>
            <x14:sparkline>
              <xm:f>VBP!B10:D10</xm:f>
              <xm:sqref>I10</xm:sqref>
            </x14:sparkline>
            <x14:sparkline>
              <xm:f>VBP!B11:D11</xm:f>
              <xm:sqref>I11</xm:sqref>
            </x14:sparkline>
            <x14:sparkline>
              <xm:f>VBP!B12:D12</xm:f>
              <xm:sqref>I12</xm:sqref>
            </x14:sparkline>
            <x14:sparkline>
              <xm:f>VBP!B13:D13</xm:f>
              <xm:sqref>I13</xm:sqref>
            </x14:sparkline>
            <x14:sparkline>
              <xm:f>VBP!B14:D14</xm:f>
              <xm:sqref>I14</xm:sqref>
            </x14:sparkline>
            <x14:sparkline>
              <xm:f>VBP!B15:D15</xm:f>
              <xm:sqref>I15</xm:sqref>
            </x14:sparkline>
            <x14:sparkline>
              <xm:f>VBP!B16:D16</xm:f>
              <xm:sqref>I16</xm:sqref>
            </x14:sparkline>
            <x14:sparkline>
              <xm:f>VBP!B17:D17</xm:f>
              <xm:sqref>I17</xm:sqref>
            </x14:sparkline>
            <x14:sparkline>
              <xm:f>VBP!B18:D18</xm:f>
              <xm:sqref>I18</xm:sqref>
            </x14:sparkline>
            <x14:sparkline>
              <xm:f>VBP!B19:D19</xm:f>
              <xm:sqref>I19</xm:sqref>
            </x14:sparkline>
            <x14:sparkline>
              <xm:f>VBP!B20:D20</xm:f>
              <xm:sqref>I20</xm:sqref>
            </x14:sparkline>
            <x14:sparkline>
              <xm:f>VBP!B21:D21</xm:f>
              <xm:sqref>I21</xm:sqref>
            </x14:sparkline>
            <x14:sparkline>
              <xm:f>VBP!B22:D22</xm:f>
              <xm:sqref>I22</xm:sqref>
            </x14:sparkline>
            <x14:sparkline>
              <xm:f>VBP!B23:D23</xm:f>
              <xm:sqref>I23</xm:sqref>
            </x14:sparkline>
            <x14:sparkline>
              <xm:f>VBP!B24:D24</xm:f>
              <xm:sqref>I24</xm:sqref>
            </x14:sparkline>
            <x14:sparkline>
              <xm:f>VBP!B25:D25</xm:f>
              <xm:sqref>I25</xm:sqref>
            </x14:sparkline>
            <x14:sparkline>
              <xm:f>VBP!B26:D26</xm:f>
              <xm:sqref>I26</xm:sqref>
            </x14:sparkline>
            <x14:sparkline>
              <xm:f>VBP!B27:D27</xm:f>
              <xm:sqref>I27</xm:sqref>
            </x14:sparkline>
            <x14:sparkline>
              <xm:f>VBP!B28:D28</xm:f>
              <xm:sqref>I28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K46"/>
  <sheetViews>
    <sheetView showGridLines="0" zoomScale="90" zoomScaleNormal="90" workbookViewId="0">
      <pane xSplit="1" ySplit="3" topLeftCell="B4" activePane="bottomRight" state="frozen"/>
      <selection activeCell="E36" sqref="E36"/>
      <selection pane="topRight" activeCell="E36" sqref="E36"/>
      <selection pane="bottomLeft" activeCell="E36" sqref="E36"/>
      <selection pane="bottomRight" activeCell="B47" sqref="B47"/>
    </sheetView>
  </sheetViews>
  <sheetFormatPr defaultColWidth="8.88671875" defaultRowHeight="19.2" x14ac:dyDescent="0.45"/>
  <cols>
    <col min="1" max="1" width="22.33203125" style="3" customWidth="1"/>
    <col min="2" max="32" width="8.33203125" style="3" bestFit="1" customWidth="1"/>
    <col min="33" max="39" width="10.109375" style="3" bestFit="1" customWidth="1"/>
    <col min="40" max="42" width="13.5546875" style="121" customWidth="1"/>
    <col min="43" max="16384" width="8.88671875" style="3"/>
  </cols>
  <sheetData>
    <row r="1" spans="1:42" x14ac:dyDescent="0.45">
      <c r="A1" s="29" t="s">
        <v>1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</row>
    <row r="2" spans="1:42" x14ac:dyDescent="0.45">
      <c r="A2" s="149" t="s">
        <v>35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P2" s="149"/>
      <c r="Q2" s="149"/>
      <c r="R2" s="149"/>
      <c r="S2" s="149"/>
      <c r="T2" s="149"/>
      <c r="U2" s="149"/>
      <c r="V2" s="149"/>
      <c r="W2" s="149"/>
      <c r="X2" s="149"/>
      <c r="Y2" s="149"/>
      <c r="Z2" s="149"/>
      <c r="AA2" s="149"/>
      <c r="AB2" s="149"/>
      <c r="AC2" s="149"/>
      <c r="AD2" s="149"/>
      <c r="AE2" s="149"/>
      <c r="AF2" s="149"/>
      <c r="AG2" s="149"/>
      <c r="AH2" s="149"/>
      <c r="AI2" s="149"/>
      <c r="AJ2" s="44"/>
      <c r="AK2" s="44"/>
      <c r="AL2" s="44"/>
      <c r="AM2" s="44"/>
    </row>
    <row r="3" spans="1:42" s="10" customFormat="1" ht="33" customHeight="1" thickBot="1" x14ac:dyDescent="0.5">
      <c r="A3" s="6"/>
      <c r="B3" s="32" t="s">
        <v>36</v>
      </c>
      <c r="C3" s="32" t="s">
        <v>37</v>
      </c>
      <c r="D3" s="32" t="s">
        <v>38</v>
      </c>
      <c r="E3" s="32" t="s">
        <v>39</v>
      </c>
      <c r="F3" s="32" t="s">
        <v>40</v>
      </c>
      <c r="G3" s="32" t="s">
        <v>41</v>
      </c>
      <c r="H3" s="32" t="s">
        <v>42</v>
      </c>
      <c r="I3" s="32" t="s">
        <v>43</v>
      </c>
      <c r="J3" s="32" t="s">
        <v>44</v>
      </c>
      <c r="K3" s="32" t="s">
        <v>45</v>
      </c>
      <c r="L3" s="32" t="s">
        <v>46</v>
      </c>
      <c r="M3" s="32" t="s">
        <v>47</v>
      </c>
      <c r="N3" s="32" t="s">
        <v>48</v>
      </c>
      <c r="O3" s="32" t="s">
        <v>49</v>
      </c>
      <c r="P3" s="32" t="s">
        <v>50</v>
      </c>
      <c r="Q3" s="32" t="s">
        <v>51</v>
      </c>
      <c r="R3" s="32" t="s">
        <v>52</v>
      </c>
      <c r="S3" s="32" t="s">
        <v>53</v>
      </c>
      <c r="T3" s="32" t="s">
        <v>54</v>
      </c>
      <c r="U3" s="32" t="s">
        <v>55</v>
      </c>
      <c r="V3" s="32" t="s">
        <v>56</v>
      </c>
      <c r="W3" s="32" t="s">
        <v>57</v>
      </c>
      <c r="X3" s="32" t="s">
        <v>58</v>
      </c>
      <c r="Y3" s="32" t="s">
        <v>59</v>
      </c>
      <c r="Z3" s="32" t="s">
        <v>60</v>
      </c>
      <c r="AA3" s="32" t="s">
        <v>61</v>
      </c>
      <c r="AB3" s="32" t="s">
        <v>62</v>
      </c>
      <c r="AC3" s="33" t="s">
        <v>63</v>
      </c>
      <c r="AD3" s="33" t="s">
        <v>64</v>
      </c>
      <c r="AE3" s="33" t="s">
        <v>65</v>
      </c>
      <c r="AF3" s="33" t="s">
        <v>66</v>
      </c>
      <c r="AG3" s="33" t="s">
        <v>67</v>
      </c>
      <c r="AH3" s="33" t="s">
        <v>68</v>
      </c>
      <c r="AI3" s="33">
        <v>2022</v>
      </c>
      <c r="AJ3" s="33" t="s">
        <v>69</v>
      </c>
      <c r="AK3" s="33" t="s">
        <v>117</v>
      </c>
      <c r="AL3" s="33" t="s">
        <v>127</v>
      </c>
      <c r="AM3" s="33" t="s">
        <v>126</v>
      </c>
      <c r="AN3" s="127" t="s">
        <v>70</v>
      </c>
      <c r="AO3" s="127" t="s">
        <v>112</v>
      </c>
      <c r="AP3" s="127" t="s">
        <v>121</v>
      </c>
    </row>
    <row r="4" spans="1:42" s="15" customFormat="1" ht="19.5" customHeight="1" thickTop="1" x14ac:dyDescent="0.45">
      <c r="A4" s="11" t="s">
        <v>5</v>
      </c>
      <c r="B4" s="34">
        <v>10.112630705587831</v>
      </c>
      <c r="C4" s="34">
        <v>8.3963126370985499</v>
      </c>
      <c r="D4" s="34">
        <v>9.4503239067720894</v>
      </c>
      <c r="E4" s="34">
        <v>8.2458299284988072</v>
      </c>
      <c r="F4" s="34">
        <v>4.9952372908541323</v>
      </c>
      <c r="G4" s="34">
        <v>6.4414006351016013</v>
      </c>
      <c r="H4" s="34">
        <v>6.050748652879145</v>
      </c>
      <c r="I4" s="34">
        <v>4.165642191018418</v>
      </c>
      <c r="J4" s="34">
        <v>3.886995760152876</v>
      </c>
      <c r="K4" s="34">
        <v>4.7149840042853297</v>
      </c>
      <c r="L4" s="34">
        <v>6.0978603516924368</v>
      </c>
      <c r="M4" s="34">
        <v>8.0643134499016274</v>
      </c>
      <c r="N4" s="34">
        <v>9.1959137282801464</v>
      </c>
      <c r="O4" s="34">
        <v>7.6477405660294346</v>
      </c>
      <c r="P4" s="34">
        <v>9.9928593978025333</v>
      </c>
      <c r="Q4" s="34">
        <v>17.805861227107268</v>
      </c>
      <c r="R4" s="34">
        <v>12.855551123817227</v>
      </c>
      <c r="S4" s="34">
        <v>9.4710863342040295</v>
      </c>
      <c r="T4" s="34">
        <v>13.110790294830997</v>
      </c>
      <c r="U4" s="34">
        <v>12.300219585178333</v>
      </c>
      <c r="V4" s="34">
        <v>8.4795976380907749</v>
      </c>
      <c r="W4" s="34">
        <v>8.2038391167763951</v>
      </c>
      <c r="X4" s="34">
        <v>21.438760846992338</v>
      </c>
      <c r="Y4" s="34">
        <v>26.70438189440285</v>
      </c>
      <c r="Z4" s="34">
        <v>18.992285610063202</v>
      </c>
      <c r="AA4" s="34">
        <v>24.418245176015841</v>
      </c>
      <c r="AB4" s="34">
        <v>24.985545911328931</v>
      </c>
      <c r="AC4" s="35">
        <v>22.684235586858208</v>
      </c>
      <c r="AD4" s="35">
        <v>15.568771858253204</v>
      </c>
      <c r="AE4" s="35">
        <v>23.186700088225045</v>
      </c>
      <c r="AF4" s="35">
        <v>26.667338136662753</v>
      </c>
      <c r="AG4" s="35">
        <v>28.798120165249728</v>
      </c>
      <c r="AH4" s="35">
        <v>29.664525536931155</v>
      </c>
      <c r="AI4" s="35">
        <v>35.396435937442895</v>
      </c>
      <c r="AJ4" s="35">
        <v>32.149512164213974</v>
      </c>
      <c r="AK4" s="35">
        <v>34.008182344765508</v>
      </c>
      <c r="AL4" s="35">
        <v>35.603217508444054</v>
      </c>
      <c r="AM4" s="35">
        <v>30.342869333333336</v>
      </c>
      <c r="AN4" s="122">
        <v>5.7813324539973676E-2</v>
      </c>
      <c r="AO4" s="122">
        <v>4.6901511745277125E-2</v>
      </c>
      <c r="AP4" s="122">
        <v>-0.14774923569374354</v>
      </c>
    </row>
    <row r="5" spans="1:42" s="15" customFormat="1" ht="19.5" customHeight="1" x14ac:dyDescent="0.45">
      <c r="A5" s="16" t="s">
        <v>6</v>
      </c>
      <c r="B5" s="36">
        <v>0.77290621809015769</v>
      </c>
      <c r="C5" s="36">
        <v>0.62194250600391499</v>
      </c>
      <c r="D5" s="36">
        <v>0.69536158447442842</v>
      </c>
      <c r="E5" s="36">
        <v>0.56253397445974052</v>
      </c>
      <c r="F5" s="36">
        <v>0.69074898350695269</v>
      </c>
      <c r="G5" s="36">
        <v>0.64555512055948083</v>
      </c>
      <c r="H5" s="36">
        <v>0.57721521902407325</v>
      </c>
      <c r="I5" s="36">
        <v>0.55179909280733941</v>
      </c>
      <c r="J5" s="36">
        <v>0.57960216677260712</v>
      </c>
      <c r="K5" s="36">
        <v>0.62267071665733276</v>
      </c>
      <c r="L5" s="36">
        <v>0.76327658680554034</v>
      </c>
      <c r="M5" s="36">
        <v>0.84879229371790865</v>
      </c>
      <c r="N5" s="36">
        <v>0.60860288579860133</v>
      </c>
      <c r="O5" s="36">
        <v>0.771493333015425</v>
      </c>
      <c r="P5" s="36">
        <v>0.89915177926497936</v>
      </c>
      <c r="Q5" s="36">
        <v>1.0368803892357343</v>
      </c>
      <c r="R5" s="36">
        <v>1.0886650148391284</v>
      </c>
      <c r="S5" s="36">
        <v>0.82525325866318311</v>
      </c>
      <c r="T5" s="36">
        <v>1.0407995612394365</v>
      </c>
      <c r="U5" s="36">
        <v>1.4849947769109415</v>
      </c>
      <c r="V5" s="36">
        <v>0.91140835636224904</v>
      </c>
      <c r="W5" s="36">
        <v>0.87799256134562209</v>
      </c>
      <c r="X5" s="36">
        <v>1.203952913015387</v>
      </c>
      <c r="Y5" s="36">
        <v>1.3494398142737754</v>
      </c>
      <c r="Z5" s="36">
        <v>1.6618790088453053</v>
      </c>
      <c r="AA5" s="36">
        <v>1.8765654255636333</v>
      </c>
      <c r="AB5" s="36">
        <v>2.0079524228579104</v>
      </c>
      <c r="AC5" s="37">
        <v>2.2555343430875987</v>
      </c>
      <c r="AD5" s="37">
        <v>2.3266345638042112</v>
      </c>
      <c r="AE5" s="37">
        <v>2.1028141914161522</v>
      </c>
      <c r="AF5" s="37">
        <v>2.4462539243627028</v>
      </c>
      <c r="AG5" s="37">
        <v>3.3762179447657528</v>
      </c>
      <c r="AH5" s="37">
        <v>3.0913050864203862</v>
      </c>
      <c r="AI5" s="37">
        <v>3.6353055681650712</v>
      </c>
      <c r="AJ5" s="37">
        <v>4.6294355896969854</v>
      </c>
      <c r="AK5" s="37">
        <v>4.366852845233379</v>
      </c>
      <c r="AL5" s="37">
        <v>6.2150593264235638</v>
      </c>
      <c r="AM5" s="37">
        <v>5.315520384</v>
      </c>
      <c r="AN5" s="122">
        <v>-5.6720250098736824E-2</v>
      </c>
      <c r="AO5" s="122">
        <v>0.42323534744423252</v>
      </c>
      <c r="AP5" s="122">
        <v>-0.14473537502677403</v>
      </c>
    </row>
    <row r="6" spans="1:42" s="15" customFormat="1" ht="19.5" customHeight="1" x14ac:dyDescent="0.45">
      <c r="A6" s="11" t="s">
        <v>7</v>
      </c>
      <c r="B6" s="34">
        <v>23.324340509802074</v>
      </c>
      <c r="C6" s="34">
        <v>18.991509819667009</v>
      </c>
      <c r="D6" s="34">
        <v>27.803844614112929</v>
      </c>
      <c r="E6" s="34">
        <v>23.473406202308322</v>
      </c>
      <c r="F6" s="34">
        <v>23.661450135795725</v>
      </c>
      <c r="G6" s="34">
        <v>22.5330385262032</v>
      </c>
      <c r="H6" s="34">
        <v>19.742379265377412</v>
      </c>
      <c r="I6" s="34">
        <v>16.022346664577093</v>
      </c>
      <c r="J6" s="34">
        <v>15.949740637142829</v>
      </c>
      <c r="K6" s="34">
        <v>17.730694771725254</v>
      </c>
      <c r="L6" s="34">
        <v>23.961318910327375</v>
      </c>
      <c r="M6" s="34">
        <v>17.508540211983739</v>
      </c>
      <c r="N6" s="34">
        <v>17.131277726171682</v>
      </c>
      <c r="O6" s="34">
        <v>20.524433757467143</v>
      </c>
      <c r="P6" s="34">
        <v>24.803761735111578</v>
      </c>
      <c r="Q6" s="34">
        <v>31.575246879619542</v>
      </c>
      <c r="R6" s="34">
        <v>23.033407431839528</v>
      </c>
      <c r="S6" s="34">
        <v>18.212534600456479</v>
      </c>
      <c r="T6" s="34">
        <v>18.279041132753573</v>
      </c>
      <c r="U6" s="34">
        <v>23.484601172940604</v>
      </c>
      <c r="V6" s="34">
        <v>25.093237781595143</v>
      </c>
      <c r="W6" s="34">
        <v>19.449271744706127</v>
      </c>
      <c r="X6" s="34">
        <v>19.088912658159828</v>
      </c>
      <c r="Y6" s="34">
        <v>17.174855219903701</v>
      </c>
      <c r="Z6" s="34">
        <v>20.840417609356255</v>
      </c>
      <c r="AA6" s="34">
        <v>21.379844639704995</v>
      </c>
      <c r="AB6" s="34">
        <v>19.896060364166587</v>
      </c>
      <c r="AC6" s="35">
        <v>18.21445013906332</v>
      </c>
      <c r="AD6" s="35">
        <v>19.88209409638101</v>
      </c>
      <c r="AE6" s="35">
        <v>16.566432526002483</v>
      </c>
      <c r="AF6" s="35">
        <v>15.648682414580255</v>
      </c>
      <c r="AG6" s="35">
        <v>21.579986381649753</v>
      </c>
      <c r="AH6" s="35">
        <v>21.603168906919201</v>
      </c>
      <c r="AI6" s="35">
        <v>17.331035436343996</v>
      </c>
      <c r="AJ6" s="35">
        <v>21.476263346703931</v>
      </c>
      <c r="AK6" s="35">
        <v>24.898835538881873</v>
      </c>
      <c r="AL6" s="35">
        <v>20.812078087031988</v>
      </c>
      <c r="AM6" s="35">
        <v>14.471891389587498</v>
      </c>
      <c r="AN6" s="122">
        <v>0.15936534847451567</v>
      </c>
      <c r="AO6" s="122">
        <v>-0.16413448112736151</v>
      </c>
      <c r="AP6" s="122">
        <v>-0.30463977075864723</v>
      </c>
    </row>
    <row r="7" spans="1:42" s="15" customFormat="1" ht="19.5" customHeight="1" x14ac:dyDescent="0.45">
      <c r="A7" s="16" t="s">
        <v>8</v>
      </c>
      <c r="B7" s="36">
        <v>15.395598287406786</v>
      </c>
      <c r="C7" s="36">
        <v>16.938560013254655</v>
      </c>
      <c r="D7" s="36">
        <v>14.599145327917</v>
      </c>
      <c r="E7" s="36">
        <v>11.758353451435646</v>
      </c>
      <c r="F7" s="36">
        <v>11.722347872381485</v>
      </c>
      <c r="G7" s="36">
        <v>17.152453831601239</v>
      </c>
      <c r="H7" s="36">
        <v>22.786691915741223</v>
      </c>
      <c r="I7" s="36">
        <v>15.610909731334555</v>
      </c>
      <c r="J7" s="36">
        <v>13.572302557849646</v>
      </c>
      <c r="K7" s="36">
        <v>13.676648112156336</v>
      </c>
      <c r="L7" s="36">
        <v>14.52208049609257</v>
      </c>
      <c r="M7" s="36">
        <v>12.627190233636808</v>
      </c>
      <c r="N7" s="36">
        <v>12.335388064362389</v>
      </c>
      <c r="O7" s="36">
        <v>12.05477235053101</v>
      </c>
      <c r="P7" s="36">
        <v>12.550205966931275</v>
      </c>
      <c r="Q7" s="36">
        <v>12.416529291127109</v>
      </c>
      <c r="R7" s="36">
        <v>12.636573618619341</v>
      </c>
      <c r="S7" s="36">
        <v>13.09641702932222</v>
      </c>
      <c r="T7" s="36">
        <v>13.84975879112883</v>
      </c>
      <c r="U7" s="36">
        <v>13.957472493096207</v>
      </c>
      <c r="V7" s="36">
        <v>13.43174707021616</v>
      </c>
      <c r="W7" s="36">
        <v>15.025780597138993</v>
      </c>
      <c r="X7" s="36">
        <v>16.376608012289928</v>
      </c>
      <c r="Y7" s="36">
        <v>15.434960313025702</v>
      </c>
      <c r="Z7" s="36">
        <v>17.566619971153678</v>
      </c>
      <c r="AA7" s="36">
        <v>18.563101852720433</v>
      </c>
      <c r="AB7" s="36">
        <v>18.184432139125288</v>
      </c>
      <c r="AC7" s="37">
        <v>26.777043624076008</v>
      </c>
      <c r="AD7" s="37">
        <v>19.634200808267135</v>
      </c>
      <c r="AE7" s="37">
        <v>17.007624261097813</v>
      </c>
      <c r="AF7" s="37">
        <v>19.589287120844254</v>
      </c>
      <c r="AG7" s="37">
        <v>15.155553160991012</v>
      </c>
      <c r="AH7" s="37">
        <v>13.503923484134649</v>
      </c>
      <c r="AI7" s="37">
        <v>16.141481754661378</v>
      </c>
      <c r="AJ7" s="37">
        <v>18.547695586321471</v>
      </c>
      <c r="AK7" s="37">
        <v>22.143275592886209</v>
      </c>
      <c r="AL7" s="37">
        <v>21.303747215189969</v>
      </c>
      <c r="AM7" s="37">
        <v>22.281708900485757</v>
      </c>
      <c r="AN7" s="122">
        <v>0.19385588844882706</v>
      </c>
      <c r="AO7" s="122">
        <v>-3.7913468320195043E-2</v>
      </c>
      <c r="AP7" s="122">
        <v>4.5905618172116025E-2</v>
      </c>
    </row>
    <row r="8" spans="1:42" s="15" customFormat="1" ht="19.5" customHeight="1" x14ac:dyDescent="0.45">
      <c r="A8" s="11" t="s">
        <v>9</v>
      </c>
      <c r="B8" s="34">
        <v>7.6595529126632602</v>
      </c>
      <c r="C8" s="34">
        <v>9.5647260144496222</v>
      </c>
      <c r="D8" s="34">
        <v>7.0296026080275018</v>
      </c>
      <c r="E8" s="34">
        <v>7.5016954668282541</v>
      </c>
      <c r="F8" s="34">
        <v>5.6989488448303849</v>
      </c>
      <c r="G8" s="34">
        <v>11.198017693412393</v>
      </c>
      <c r="H8" s="34">
        <v>8.4865762430746567</v>
      </c>
      <c r="I8" s="34">
        <v>5.8366289039452992</v>
      </c>
      <c r="J8" s="34">
        <v>7.0587253534903001</v>
      </c>
      <c r="K8" s="34">
        <v>9.0495432790875885</v>
      </c>
      <c r="L8" s="34">
        <v>6.2919650186875398</v>
      </c>
      <c r="M8" s="34">
        <v>6.2517145963531675</v>
      </c>
      <c r="N8" s="34">
        <v>9.1900667631791588</v>
      </c>
      <c r="O8" s="34">
        <v>8.0197932461582244</v>
      </c>
      <c r="P8" s="34">
        <v>7.5933897006481503</v>
      </c>
      <c r="Q8" s="34">
        <v>6.1990787572232362</v>
      </c>
      <c r="R8" s="34">
        <v>7.2373899487702156</v>
      </c>
      <c r="S8" s="34">
        <v>6.8072782168843986</v>
      </c>
      <c r="T8" s="34">
        <v>7.3467369580933628</v>
      </c>
      <c r="U8" s="34">
        <v>7.460244859611346</v>
      </c>
      <c r="V8" s="34">
        <v>9.2472141756809823</v>
      </c>
      <c r="W8" s="34">
        <v>9.8414476700711475</v>
      </c>
      <c r="X8" s="34">
        <v>8.1226559389601629</v>
      </c>
      <c r="Y8" s="34">
        <v>6.4029720998783315</v>
      </c>
      <c r="Z8" s="34">
        <v>9.5731552593381011</v>
      </c>
      <c r="AA8" s="34">
        <v>11.143158350669818</v>
      </c>
      <c r="AB8" s="34">
        <v>11.010667231764389</v>
      </c>
      <c r="AC8" s="35">
        <v>13.267110854324981</v>
      </c>
      <c r="AD8" s="35">
        <v>7.1200954683198798</v>
      </c>
      <c r="AE8" s="35">
        <v>6.8012064294487873</v>
      </c>
      <c r="AF8" s="35">
        <v>12.726802160429717</v>
      </c>
      <c r="AG8" s="35">
        <v>10.217109297932055</v>
      </c>
      <c r="AH8" s="35">
        <v>9.4252747422987593</v>
      </c>
      <c r="AI8" s="35">
        <v>11.523667763303925</v>
      </c>
      <c r="AJ8" s="35">
        <v>12.398671706859925</v>
      </c>
      <c r="AK8" s="35">
        <v>19.450512030229618</v>
      </c>
      <c r="AL8" s="35">
        <v>9.0113844104729086</v>
      </c>
      <c r="AM8" s="35">
        <v>8.294255696285715</v>
      </c>
      <c r="AN8" s="122">
        <v>0.56875772583510353</v>
      </c>
      <c r="AO8" s="122">
        <v>-0.53670194406874305</v>
      </c>
      <c r="AP8" s="122">
        <v>-7.9580304370742039E-2</v>
      </c>
    </row>
    <row r="9" spans="1:42" s="15" customFormat="1" ht="19.5" customHeight="1" x14ac:dyDescent="0.45">
      <c r="A9" s="16" t="s">
        <v>10</v>
      </c>
      <c r="B9" s="36">
        <v>4.6970229165954169</v>
      </c>
      <c r="C9" s="36">
        <v>3.7105954651759552</v>
      </c>
      <c r="D9" s="36">
        <v>3.9971679110151759</v>
      </c>
      <c r="E9" s="36">
        <v>3.6848060708110446</v>
      </c>
      <c r="F9" s="36">
        <v>3.9116034907687971</v>
      </c>
      <c r="G9" s="36">
        <v>3.4955097257395984</v>
      </c>
      <c r="H9" s="36">
        <v>2.9646935181888843</v>
      </c>
      <c r="I9" s="36">
        <v>2.4641566094924214</v>
      </c>
      <c r="J9" s="36">
        <v>3.3188414716220218</v>
      </c>
      <c r="K9" s="36">
        <v>3.5868344998016179</v>
      </c>
      <c r="L9" s="36">
        <v>2.6257195044802648</v>
      </c>
      <c r="M9" s="36">
        <v>1.8827799805372067</v>
      </c>
      <c r="N9" s="36">
        <v>2.445812457366233</v>
      </c>
      <c r="O9" s="36">
        <v>4.6244789707671261</v>
      </c>
      <c r="P9" s="36">
        <v>3.8465215383574605</v>
      </c>
      <c r="Q9" s="36">
        <v>3.1542149263318366</v>
      </c>
      <c r="R9" s="36">
        <v>2.6524354663509722</v>
      </c>
      <c r="S9" s="36">
        <v>2.3508722236754962</v>
      </c>
      <c r="T9" s="36">
        <v>2.5015413378857554</v>
      </c>
      <c r="U9" s="36">
        <v>2.8319487042845473</v>
      </c>
      <c r="V9" s="36">
        <v>3.6427748299129288</v>
      </c>
      <c r="W9" s="36">
        <v>3.6709953028464182</v>
      </c>
      <c r="X9" s="36">
        <v>3.1345910906002232</v>
      </c>
      <c r="Y9" s="36">
        <v>2.8933261905364493</v>
      </c>
      <c r="Z9" s="36">
        <v>2.7673383677747951</v>
      </c>
      <c r="AA9" s="36">
        <v>2.2571563057785782</v>
      </c>
      <c r="AB9" s="36">
        <v>2.6192630664470506</v>
      </c>
      <c r="AC9" s="37">
        <v>3.4152383346626802</v>
      </c>
      <c r="AD9" s="37">
        <v>2.4861303801155712</v>
      </c>
      <c r="AE9" s="37">
        <v>3.3702610691424741</v>
      </c>
      <c r="AF9" s="37">
        <v>3.5396577187968652</v>
      </c>
      <c r="AG9" s="37">
        <v>4.4458134414284691</v>
      </c>
      <c r="AH9" s="37">
        <v>4.5511659095419779</v>
      </c>
      <c r="AI9" s="37">
        <v>3.3627146090830387</v>
      </c>
      <c r="AJ9" s="37">
        <v>4.346733389134477</v>
      </c>
      <c r="AK9" s="37">
        <v>11.056930618043994</v>
      </c>
      <c r="AL9" s="37">
        <v>11.577882705171255</v>
      </c>
      <c r="AM9" s="37">
        <v>7.6806366428000006</v>
      </c>
      <c r="AN9" s="122">
        <v>1.5437333344812423</v>
      </c>
      <c r="AO9" s="122">
        <v>4.7115434212557261E-2</v>
      </c>
      <c r="AP9" s="122">
        <v>-0.33661129254924582</v>
      </c>
    </row>
    <row r="10" spans="1:42" s="15" customFormat="1" ht="19.5" customHeight="1" x14ac:dyDescent="0.45">
      <c r="A10" s="11" t="s">
        <v>11</v>
      </c>
      <c r="B10" s="139" t="s">
        <v>111</v>
      </c>
      <c r="C10" s="139" t="s">
        <v>111</v>
      </c>
      <c r="D10" s="139" t="s">
        <v>111</v>
      </c>
      <c r="E10" s="139" t="s">
        <v>111</v>
      </c>
      <c r="F10" s="139" t="s">
        <v>111</v>
      </c>
      <c r="G10" s="139" t="s">
        <v>111</v>
      </c>
      <c r="H10" s="139" t="s">
        <v>111</v>
      </c>
      <c r="I10" s="139" t="s">
        <v>111</v>
      </c>
      <c r="J10" s="34">
        <v>36.17404275381795</v>
      </c>
      <c r="K10" s="34">
        <v>36.914402082867277</v>
      </c>
      <c r="L10" s="34">
        <v>35.790143978352738</v>
      </c>
      <c r="M10" s="34">
        <v>32.885078555284785</v>
      </c>
      <c r="N10" s="34">
        <v>20.4572057161622</v>
      </c>
      <c r="O10" s="34">
        <v>28.466043138786912</v>
      </c>
      <c r="P10" s="34">
        <v>23.619602812478536</v>
      </c>
      <c r="Q10" s="34">
        <v>33.484226403981687</v>
      </c>
      <c r="R10" s="34">
        <v>35.488712269191574</v>
      </c>
      <c r="S10" s="34">
        <v>37.351050336148923</v>
      </c>
      <c r="T10" s="34">
        <v>31.325732105632095</v>
      </c>
      <c r="U10" s="34">
        <v>36.12508165160817</v>
      </c>
      <c r="V10" s="34">
        <v>31.29858024128901</v>
      </c>
      <c r="W10" s="34">
        <v>41.72371049030432</v>
      </c>
      <c r="X10" s="34">
        <v>48.252534303529657</v>
      </c>
      <c r="Y10" s="34">
        <v>44.229694598655769</v>
      </c>
      <c r="Z10" s="34">
        <v>31.243641145221325</v>
      </c>
      <c r="AA10" s="34">
        <v>37.425278842941871</v>
      </c>
      <c r="AB10" s="34">
        <v>37.289958814021851</v>
      </c>
      <c r="AC10" s="35">
        <v>44.496162949520503</v>
      </c>
      <c r="AD10" s="35">
        <v>37.962177033958504</v>
      </c>
      <c r="AE10" s="35">
        <v>41.798017500514881</v>
      </c>
      <c r="AF10" s="35">
        <v>31.026412122688605</v>
      </c>
      <c r="AG10" s="35">
        <v>44.354415897896999</v>
      </c>
      <c r="AH10" s="35">
        <v>45.770699062818842</v>
      </c>
      <c r="AI10" s="35">
        <v>57.1803241910251</v>
      </c>
      <c r="AJ10" s="35">
        <v>52.236507278343581</v>
      </c>
      <c r="AK10" s="35">
        <v>78.793199716324551</v>
      </c>
      <c r="AL10" s="35">
        <v>114.82737432599298</v>
      </c>
      <c r="AM10" s="35">
        <v>116.27353384266667</v>
      </c>
      <c r="AN10" s="122">
        <v>0.50839334062809649</v>
      </c>
      <c r="AO10" s="122">
        <v>0.45732594614002942</v>
      </c>
      <c r="AP10" s="122">
        <v>1.2594205215979759E-2</v>
      </c>
    </row>
    <row r="11" spans="1:42" s="15" customFormat="1" ht="19.5" customHeight="1" x14ac:dyDescent="0.45">
      <c r="A11" s="16" t="s">
        <v>71</v>
      </c>
      <c r="B11" s="140" t="s">
        <v>111</v>
      </c>
      <c r="C11" s="140" t="s">
        <v>111</v>
      </c>
      <c r="D11" s="140" t="s">
        <v>111</v>
      </c>
      <c r="E11" s="140" t="s">
        <v>111</v>
      </c>
      <c r="F11" s="140" t="s">
        <v>111</v>
      </c>
      <c r="G11" s="140" t="s">
        <v>111</v>
      </c>
      <c r="H11" s="140" t="s">
        <v>111</v>
      </c>
      <c r="I11" s="140" t="s">
        <v>111</v>
      </c>
      <c r="J11" s="36">
        <v>36.17404275381795</v>
      </c>
      <c r="K11" s="36">
        <v>36.914402082867277</v>
      </c>
      <c r="L11" s="36">
        <v>35.790143978352738</v>
      </c>
      <c r="M11" s="36">
        <v>32.885078555284785</v>
      </c>
      <c r="N11" s="36">
        <v>20.4572057161622</v>
      </c>
      <c r="O11" s="36">
        <v>28.466043138786912</v>
      </c>
      <c r="P11" s="36">
        <v>23.619602812478536</v>
      </c>
      <c r="Q11" s="36">
        <v>33.484226403981687</v>
      </c>
      <c r="R11" s="36">
        <v>35.488712269191574</v>
      </c>
      <c r="S11" s="36">
        <v>37.351050336148923</v>
      </c>
      <c r="T11" s="36">
        <v>31.325732105632095</v>
      </c>
      <c r="U11" s="36">
        <v>36.12508165160817</v>
      </c>
      <c r="V11" s="36">
        <v>31.29858024128901</v>
      </c>
      <c r="W11" s="36">
        <v>41.72371049030432</v>
      </c>
      <c r="X11" s="36">
        <v>41.377890458870191</v>
      </c>
      <c r="Y11" s="36">
        <v>36.046162957205802</v>
      </c>
      <c r="Z11" s="36">
        <v>25.358967381238475</v>
      </c>
      <c r="AA11" s="36">
        <v>30.246907261805628</v>
      </c>
      <c r="AB11" s="36">
        <v>30.238112781763299</v>
      </c>
      <c r="AC11" s="36">
        <v>38.416382100919741</v>
      </c>
      <c r="AD11" s="36">
        <v>29.461595601502733</v>
      </c>
      <c r="AE11" s="36">
        <v>33.484498748701924</v>
      </c>
      <c r="AF11" s="36">
        <v>23.723721268565207</v>
      </c>
      <c r="AG11" s="36">
        <v>36.961648396865847</v>
      </c>
      <c r="AH11" s="36">
        <v>34.541643111130327</v>
      </c>
      <c r="AI11" s="36">
        <v>43.500475184843317</v>
      </c>
      <c r="AJ11" s="36">
        <v>39.804621773987819</v>
      </c>
      <c r="AK11" s="36">
        <v>57.059044214673904</v>
      </c>
      <c r="AL11" s="36">
        <v>83.00479388019555</v>
      </c>
      <c r="AM11" s="36">
        <v>90.634045968666669</v>
      </c>
      <c r="AN11" s="122">
        <v>0.43347786442130665</v>
      </c>
      <c r="AO11" s="122">
        <v>0.4547175653329496</v>
      </c>
      <c r="AP11" s="122">
        <v>9.1913391164885727E-2</v>
      </c>
    </row>
    <row r="12" spans="1:42" s="15" customFormat="1" ht="19.5" customHeight="1" x14ac:dyDescent="0.45">
      <c r="A12" s="11" t="s">
        <v>72</v>
      </c>
      <c r="B12" s="139" t="s">
        <v>111</v>
      </c>
      <c r="C12" s="139" t="s">
        <v>111</v>
      </c>
      <c r="D12" s="139" t="s">
        <v>111</v>
      </c>
      <c r="E12" s="139" t="s">
        <v>111</v>
      </c>
      <c r="F12" s="139" t="s">
        <v>111</v>
      </c>
      <c r="G12" s="139" t="s">
        <v>111</v>
      </c>
      <c r="H12" s="139" t="s">
        <v>111</v>
      </c>
      <c r="I12" s="139" t="s">
        <v>111</v>
      </c>
      <c r="J12" s="139" t="s">
        <v>111</v>
      </c>
      <c r="K12" s="139" t="s">
        <v>111</v>
      </c>
      <c r="L12" s="139" t="s">
        <v>111</v>
      </c>
      <c r="M12" s="139" t="s">
        <v>111</v>
      </c>
      <c r="N12" s="139" t="s">
        <v>111</v>
      </c>
      <c r="O12" s="139" t="s">
        <v>111</v>
      </c>
      <c r="P12" s="139" t="s">
        <v>111</v>
      </c>
      <c r="Q12" s="139" t="s">
        <v>111</v>
      </c>
      <c r="R12" s="139" t="s">
        <v>111</v>
      </c>
      <c r="S12" s="139" t="s">
        <v>111</v>
      </c>
      <c r="T12" s="139" t="s">
        <v>111</v>
      </c>
      <c r="U12" s="139" t="s">
        <v>111</v>
      </c>
      <c r="V12" s="139" t="s">
        <v>111</v>
      </c>
      <c r="W12" s="139" t="s">
        <v>111</v>
      </c>
      <c r="X12" s="34">
        <v>6.874643844659464</v>
      </c>
      <c r="Y12" s="34">
        <v>8.1835316414499673</v>
      </c>
      <c r="Z12" s="34">
        <v>5.8846737639828497</v>
      </c>
      <c r="AA12" s="34">
        <v>7.1783715811362407</v>
      </c>
      <c r="AB12" s="34">
        <v>7.0518460322585552</v>
      </c>
      <c r="AC12" s="34">
        <v>6.0797808486007625</v>
      </c>
      <c r="AD12" s="34">
        <v>8.5005814324557747</v>
      </c>
      <c r="AE12" s="34">
        <v>8.3135187518129463</v>
      </c>
      <c r="AF12" s="34">
        <v>7.302690854123397</v>
      </c>
      <c r="AG12" s="34">
        <v>7.3927675010311535</v>
      </c>
      <c r="AH12" s="34">
        <v>11.229055951688514</v>
      </c>
      <c r="AI12" s="34">
        <v>13.679849006181788</v>
      </c>
      <c r="AJ12" s="34">
        <v>12.431885504355769</v>
      </c>
      <c r="AK12" s="34">
        <v>21.734155501650648</v>
      </c>
      <c r="AL12" s="34">
        <v>31.822580445797421</v>
      </c>
      <c r="AM12" s="34">
        <v>25.639487874000004</v>
      </c>
      <c r="AN12" s="122">
        <v>0.74825898243960132</v>
      </c>
      <c r="AO12" s="122">
        <v>0.46417377217074685</v>
      </c>
      <c r="AP12" s="122">
        <v>-0.19429890615969747</v>
      </c>
    </row>
    <row r="13" spans="1:42" s="15" customFormat="1" ht="19.5" customHeight="1" x14ac:dyDescent="0.45">
      <c r="A13" s="16" t="s">
        <v>12</v>
      </c>
      <c r="B13" s="36">
        <v>34.56912944511204</v>
      </c>
      <c r="C13" s="36">
        <v>36.99678252258154</v>
      </c>
      <c r="D13" s="36">
        <v>37.047490959449654</v>
      </c>
      <c r="E13" s="36">
        <v>39.677358935002836</v>
      </c>
      <c r="F13" s="36">
        <v>33.569990141806699</v>
      </c>
      <c r="G13" s="36">
        <v>39.705130235111639</v>
      </c>
      <c r="H13" s="36">
        <v>37.797084181387589</v>
      </c>
      <c r="I13" s="36">
        <v>43.089312277385538</v>
      </c>
      <c r="J13" s="36">
        <v>45.971847983136165</v>
      </c>
      <c r="K13" s="36">
        <v>46.68845795752776</v>
      </c>
      <c r="L13" s="36">
        <v>36.086892647383486</v>
      </c>
      <c r="M13" s="36">
        <v>38.43656894354497</v>
      </c>
      <c r="N13" s="36">
        <v>49.69539402571435</v>
      </c>
      <c r="O13" s="36">
        <v>48.00895621933028</v>
      </c>
      <c r="P13" s="36">
        <v>48.848322237056117</v>
      </c>
      <c r="Q13" s="36">
        <v>44.308862615657425</v>
      </c>
      <c r="R13" s="36">
        <v>47.431024641305434</v>
      </c>
      <c r="S13" s="36">
        <v>65.126556852931941</v>
      </c>
      <c r="T13" s="36">
        <v>67.442124647870173</v>
      </c>
      <c r="U13" s="36">
        <v>61.015411380456243</v>
      </c>
      <c r="V13" s="36">
        <v>74.654375228955061</v>
      </c>
      <c r="W13" s="36">
        <v>83.776326501951445</v>
      </c>
      <c r="X13" s="36">
        <v>100.75722008009581</v>
      </c>
      <c r="Y13" s="36">
        <v>108.01107018288759</v>
      </c>
      <c r="Z13" s="36">
        <v>112.34946088500318</v>
      </c>
      <c r="AA13" s="36">
        <v>100.87961904574631</v>
      </c>
      <c r="AB13" s="36">
        <v>95.492441463598411</v>
      </c>
      <c r="AC13" s="37">
        <v>100.32050229926129</v>
      </c>
      <c r="AD13" s="37">
        <v>122.77432967448478</v>
      </c>
      <c r="AE13" s="37">
        <v>102.24452347420382</v>
      </c>
      <c r="AF13" s="37">
        <v>92.371832908766663</v>
      </c>
      <c r="AG13" s="37">
        <v>89.505953859001394</v>
      </c>
      <c r="AH13" s="37">
        <v>93.980219533794724</v>
      </c>
      <c r="AI13" s="37">
        <v>101.55392153576878</v>
      </c>
      <c r="AJ13" s="37">
        <v>120.29233212563486</v>
      </c>
      <c r="AK13" s="37">
        <v>120.24011282290276</v>
      </c>
      <c r="AL13" s="37">
        <v>116.9649393895394</v>
      </c>
      <c r="AM13" s="37">
        <v>103.89501648239998</v>
      </c>
      <c r="AN13" s="122">
        <v>-4.341033365082847E-4</v>
      </c>
      <c r="AO13" s="122">
        <v>-2.7238609116969514E-2</v>
      </c>
      <c r="AP13" s="122">
        <v>-0.11174222784497334</v>
      </c>
    </row>
    <row r="14" spans="1:42" s="15" customFormat="1" ht="19.5" customHeight="1" x14ac:dyDescent="0.45">
      <c r="A14" s="11" t="s">
        <v>73</v>
      </c>
      <c r="B14" s="34">
        <v>3.1862017844723933</v>
      </c>
      <c r="C14" s="34">
        <v>5.4774956147128204</v>
      </c>
      <c r="D14" s="34">
        <v>2.6552904009285982</v>
      </c>
      <c r="E14" s="34">
        <v>4.6823982124412611</v>
      </c>
      <c r="F14" s="34">
        <v>2.4199659582421411</v>
      </c>
      <c r="G14" s="34">
        <v>3.440319364095779</v>
      </c>
      <c r="H14" s="34">
        <v>4.0805028913424835</v>
      </c>
      <c r="I14" s="34">
        <v>1.8007748556530743</v>
      </c>
      <c r="J14" s="34">
        <v>3.5423345044597547</v>
      </c>
      <c r="K14" s="34">
        <v>2.9255322987528092</v>
      </c>
      <c r="L14" s="34">
        <v>2.922214564808002</v>
      </c>
      <c r="M14" s="34">
        <v>2.9736921139200643</v>
      </c>
      <c r="N14" s="34">
        <v>3.0081633591328365</v>
      </c>
      <c r="O14" s="34">
        <v>3.2016640116003452</v>
      </c>
      <c r="P14" s="34">
        <v>2.8550114492469252</v>
      </c>
      <c r="Q14" s="34">
        <v>3.2774369099215308</v>
      </c>
      <c r="R14" s="34">
        <v>2.3989716884042633</v>
      </c>
      <c r="S14" s="34">
        <v>2.2826521509440578</v>
      </c>
      <c r="T14" s="34">
        <v>2.446949338579544</v>
      </c>
      <c r="U14" s="34">
        <v>3.8689097415408114</v>
      </c>
      <c r="V14" s="34">
        <v>3.5144748415478424</v>
      </c>
      <c r="W14" s="34">
        <v>5.7785391031222852</v>
      </c>
      <c r="X14" s="34">
        <v>2.2775045608207525</v>
      </c>
      <c r="Y14" s="34">
        <v>2.9607858384667911</v>
      </c>
      <c r="Z14" s="34">
        <v>6.5613785136942777</v>
      </c>
      <c r="AA14" s="34">
        <v>7.6740040286907503</v>
      </c>
      <c r="AB14" s="34">
        <v>5.8062574810540486</v>
      </c>
      <c r="AC14" s="35">
        <v>6.6182813040437409</v>
      </c>
      <c r="AD14" s="35">
        <v>3.3462777216136592</v>
      </c>
      <c r="AE14" s="141" t="s">
        <v>111</v>
      </c>
      <c r="AF14" s="141" t="s">
        <v>111</v>
      </c>
      <c r="AG14" s="141" t="s">
        <v>111</v>
      </c>
      <c r="AH14" s="141" t="s">
        <v>111</v>
      </c>
      <c r="AI14" s="141" t="s">
        <v>111</v>
      </c>
      <c r="AJ14" s="141" t="s">
        <v>111</v>
      </c>
      <c r="AK14" s="141" t="s">
        <v>111</v>
      </c>
      <c r="AL14" s="141" t="s">
        <v>111</v>
      </c>
      <c r="AM14" s="141" t="s">
        <v>111</v>
      </c>
      <c r="AN14" s="122" t="s">
        <v>111</v>
      </c>
      <c r="AO14" s="122" t="s">
        <v>111</v>
      </c>
      <c r="AP14" s="122" t="s">
        <v>111</v>
      </c>
    </row>
    <row r="15" spans="1:42" s="15" customFormat="1" ht="19.5" customHeight="1" x14ac:dyDescent="0.45">
      <c r="A15" s="16" t="s">
        <v>13</v>
      </c>
      <c r="B15" s="36">
        <v>20.029169826713769</v>
      </c>
      <c r="C15" s="36">
        <v>16.669083896422151</v>
      </c>
      <c r="D15" s="36">
        <v>18.116177202770569</v>
      </c>
      <c r="E15" s="36">
        <v>17.426268575430456</v>
      </c>
      <c r="F15" s="36">
        <v>18.198411104680577</v>
      </c>
      <c r="G15" s="36">
        <v>24.791105948166592</v>
      </c>
      <c r="H15" s="36">
        <v>14.614865001206637</v>
      </c>
      <c r="I15" s="36">
        <v>13.383992590902656</v>
      </c>
      <c r="J15" s="36">
        <v>13.894610900982427</v>
      </c>
      <c r="K15" s="36">
        <v>18.272013465526868</v>
      </c>
      <c r="L15" s="36">
        <v>15.312084857627339</v>
      </c>
      <c r="M15" s="36">
        <v>11.894076726619648</v>
      </c>
      <c r="N15" s="36">
        <v>13.352819378569256</v>
      </c>
      <c r="O15" s="36">
        <v>17.727446610699872</v>
      </c>
      <c r="P15" s="36">
        <v>18.333894690974411</v>
      </c>
      <c r="Q15" s="36">
        <v>12.832655698098277</v>
      </c>
      <c r="R15" s="36">
        <v>13.955071080416692</v>
      </c>
      <c r="S15" s="36">
        <v>14.324996607735935</v>
      </c>
      <c r="T15" s="36">
        <v>13.701950227579671</v>
      </c>
      <c r="U15" s="36">
        <v>24.561634902865027</v>
      </c>
      <c r="V15" s="36">
        <v>16.678048268541442</v>
      </c>
      <c r="W15" s="36">
        <v>15.055234094674972</v>
      </c>
      <c r="X15" s="36">
        <v>14.787591602887371</v>
      </c>
      <c r="Y15" s="36">
        <v>17.409175583284544</v>
      </c>
      <c r="Z15" s="36">
        <v>18.243551168900826</v>
      </c>
      <c r="AA15" s="36">
        <v>16.533237626384086</v>
      </c>
      <c r="AB15" s="36">
        <v>15.792674611457084</v>
      </c>
      <c r="AC15" s="37">
        <v>20.406036161369517</v>
      </c>
      <c r="AD15" s="37">
        <v>14.956078061751523</v>
      </c>
      <c r="AE15" s="37">
        <v>9.6751242587036739</v>
      </c>
      <c r="AF15" s="37">
        <v>15.166532903019755</v>
      </c>
      <c r="AG15" s="37">
        <v>16.794138660971434</v>
      </c>
      <c r="AH15" s="37">
        <v>14.286123601326697</v>
      </c>
      <c r="AI15" s="37">
        <v>15.731984173186664</v>
      </c>
      <c r="AJ15" s="37">
        <v>15.813788670235239</v>
      </c>
      <c r="AK15" s="37">
        <v>14.798249690144484</v>
      </c>
      <c r="AL15" s="37">
        <v>11.761655985000894</v>
      </c>
      <c r="AM15" s="37">
        <v>12.744830103012696</v>
      </c>
      <c r="AN15" s="122">
        <v>-6.4218575400732725E-2</v>
      </c>
      <c r="AO15" s="122">
        <v>-0.20519951810016668</v>
      </c>
      <c r="AP15" s="122">
        <v>8.3591470390359968E-2</v>
      </c>
    </row>
    <row r="16" spans="1:42" s="15" customFormat="1" ht="19.5" customHeight="1" x14ac:dyDescent="0.45">
      <c r="A16" s="11" t="s">
        <v>74</v>
      </c>
      <c r="B16" s="34">
        <v>6.8372150579587672</v>
      </c>
      <c r="C16" s="34">
        <v>7.1039159028362562</v>
      </c>
      <c r="D16" s="34">
        <v>6.4957598559315821</v>
      </c>
      <c r="E16" s="34">
        <v>13.171972638254774</v>
      </c>
      <c r="F16" s="34">
        <v>13.273549089221511</v>
      </c>
      <c r="G16" s="34">
        <v>9.0637243730626214</v>
      </c>
      <c r="H16" s="34">
        <v>7.4592392227104751</v>
      </c>
      <c r="I16" s="34">
        <v>8.6697668015494038</v>
      </c>
      <c r="J16" s="34">
        <v>9.7399043031739883</v>
      </c>
      <c r="K16" s="34">
        <v>8.2128529803140502</v>
      </c>
      <c r="L16" s="34">
        <v>9.6011197030086066</v>
      </c>
      <c r="M16" s="34">
        <v>8.057963360086001</v>
      </c>
      <c r="N16" s="34">
        <v>7.777790692028999</v>
      </c>
      <c r="O16" s="34">
        <v>9.05038350198706</v>
      </c>
      <c r="P16" s="34">
        <v>9.7815877662895119</v>
      </c>
      <c r="Q16" s="34">
        <v>14.38965055892159</v>
      </c>
      <c r="R16" s="34">
        <v>14.135638652402571</v>
      </c>
      <c r="S16" s="34">
        <v>14.42208553081209</v>
      </c>
      <c r="T16" s="34">
        <v>14.959218099221051</v>
      </c>
      <c r="U16" s="34">
        <v>14.715252300473258</v>
      </c>
      <c r="V16" s="34">
        <v>14.826620266061019</v>
      </c>
      <c r="W16" s="34">
        <v>12.185985669627387</v>
      </c>
      <c r="X16" s="34">
        <v>12.084310841976182</v>
      </c>
      <c r="Y16" s="34">
        <v>12.921603564121099</v>
      </c>
      <c r="Z16" s="34">
        <v>14.681008004542303</v>
      </c>
      <c r="AA16" s="34">
        <v>14.983826010820456</v>
      </c>
      <c r="AB16" s="34">
        <v>14.48755046456662</v>
      </c>
      <c r="AC16" s="35">
        <v>10.284510398220682</v>
      </c>
      <c r="AD16" s="141" t="s">
        <v>111</v>
      </c>
      <c r="AE16" s="141" t="s">
        <v>111</v>
      </c>
      <c r="AF16" s="141" t="s">
        <v>111</v>
      </c>
      <c r="AG16" s="141" t="s">
        <v>111</v>
      </c>
      <c r="AH16" s="141" t="s">
        <v>111</v>
      </c>
      <c r="AI16" s="141" t="s">
        <v>111</v>
      </c>
      <c r="AJ16" s="141" t="s">
        <v>111</v>
      </c>
      <c r="AK16" s="141" t="s">
        <v>111</v>
      </c>
      <c r="AL16" s="141" t="s">
        <v>111</v>
      </c>
      <c r="AM16" s="141" t="s">
        <v>111</v>
      </c>
      <c r="AN16" s="122" t="s">
        <v>111</v>
      </c>
      <c r="AO16" s="122" t="s">
        <v>111</v>
      </c>
      <c r="AP16" s="122" t="s">
        <v>111</v>
      </c>
    </row>
    <row r="17" spans="1:42" s="15" customFormat="1" ht="19.5" customHeight="1" x14ac:dyDescent="0.45">
      <c r="A17" s="16" t="s">
        <v>14</v>
      </c>
      <c r="B17" s="36">
        <v>25.229544530551841</v>
      </c>
      <c r="C17" s="36">
        <v>25.941726059259622</v>
      </c>
      <c r="D17" s="36">
        <v>23.833928562868731</v>
      </c>
      <c r="E17" s="36">
        <v>22.637009153059697</v>
      </c>
      <c r="F17" s="36">
        <v>19.319776455641126</v>
      </c>
      <c r="G17" s="36">
        <v>23.072087755783965</v>
      </c>
      <c r="H17" s="36">
        <v>25.21838133782504</v>
      </c>
      <c r="I17" s="36">
        <v>17.329246251006307</v>
      </c>
      <c r="J17" s="36">
        <v>21.424949165905772</v>
      </c>
      <c r="K17" s="36">
        <v>23.386649671632554</v>
      </c>
      <c r="L17" s="36">
        <v>23.094324134011078</v>
      </c>
      <c r="M17" s="36">
        <v>14.667037406636959</v>
      </c>
      <c r="N17" s="36">
        <v>26.312656407247214</v>
      </c>
      <c r="O17" s="36">
        <v>31.823989295465314</v>
      </c>
      <c r="P17" s="36">
        <v>26.595311915760071</v>
      </c>
      <c r="Q17" s="36">
        <v>23.761981299628889</v>
      </c>
      <c r="R17" s="36">
        <v>22.693249185739248</v>
      </c>
      <c r="S17" s="36">
        <v>27.060520338358806</v>
      </c>
      <c r="T17" s="36">
        <v>25.501519287157596</v>
      </c>
      <c r="U17" s="36">
        <v>26.246523826247905</v>
      </c>
      <c r="V17" s="36">
        <v>22.994874071891552</v>
      </c>
      <c r="W17" s="36">
        <v>29.847959388586997</v>
      </c>
      <c r="X17" s="36">
        <v>33.177054095228307</v>
      </c>
      <c r="Y17" s="36">
        <v>19.69101452228756</v>
      </c>
      <c r="Z17" s="36">
        <v>21.291362502718222</v>
      </c>
      <c r="AA17" s="36">
        <v>25.682682695403916</v>
      </c>
      <c r="AB17" s="36">
        <v>21.718630137753369</v>
      </c>
      <c r="AC17" s="37">
        <v>23.161391027878274</v>
      </c>
      <c r="AD17" s="37">
        <v>25.743686398912406</v>
      </c>
      <c r="AE17" s="37">
        <v>20.882647740404479</v>
      </c>
      <c r="AF17" s="37">
        <v>20.891303428340919</v>
      </c>
      <c r="AG17" s="37">
        <v>18.950743298973279</v>
      </c>
      <c r="AH17" s="37">
        <v>18.537584162644581</v>
      </c>
      <c r="AI17" s="37">
        <v>17.817141451604545</v>
      </c>
      <c r="AJ17" s="37">
        <v>21.846476669340582</v>
      </c>
      <c r="AK17" s="37">
        <v>28.282401348566232</v>
      </c>
      <c r="AL17" s="37">
        <v>24.379730731437036</v>
      </c>
      <c r="AM17" s="37">
        <v>15.566734609338612</v>
      </c>
      <c r="AN17" s="122">
        <v>0.29459783271404349</v>
      </c>
      <c r="AO17" s="122">
        <v>-0.13798936550792706</v>
      </c>
      <c r="AP17" s="122">
        <v>-0.36148865708078937</v>
      </c>
    </row>
    <row r="18" spans="1:42" s="15" customFormat="1" ht="19.5" customHeight="1" x14ac:dyDescent="0.45">
      <c r="A18" s="11" t="s">
        <v>15</v>
      </c>
      <c r="B18" s="34">
        <v>0.47782632071215364</v>
      </c>
      <c r="C18" s="34">
        <v>0.32494469431767042</v>
      </c>
      <c r="D18" s="34">
        <v>0.24199712886533037</v>
      </c>
      <c r="E18" s="34">
        <v>0.2063336568860529</v>
      </c>
      <c r="F18" s="34">
        <v>0.10470322582489888</v>
      </c>
      <c r="G18" s="34">
        <v>0.12229835743101587</v>
      </c>
      <c r="H18" s="34">
        <v>7.7270347895731686E-2</v>
      </c>
      <c r="I18" s="34">
        <v>9.4161812197812722E-2</v>
      </c>
      <c r="J18" s="34">
        <v>0.19688557073229607</v>
      </c>
      <c r="K18" s="34">
        <v>3.1446329396314157E-2</v>
      </c>
      <c r="L18" s="34">
        <v>7.6241145888470252E-2</v>
      </c>
      <c r="M18" s="34">
        <v>0.32006840369788553</v>
      </c>
      <c r="N18" s="34">
        <v>0.21671200271803459</v>
      </c>
      <c r="O18" s="34">
        <v>0.16360023770982984</v>
      </c>
      <c r="P18" s="34">
        <v>0.22115572479634202</v>
      </c>
      <c r="Q18" s="34">
        <v>0.41147687688080375</v>
      </c>
      <c r="R18" s="34">
        <v>0.39676498651914077</v>
      </c>
      <c r="S18" s="34">
        <v>0.18205161140553969</v>
      </c>
      <c r="T18" s="34">
        <v>0.19766060894148288</v>
      </c>
      <c r="U18" s="34">
        <v>0.26174905935642551</v>
      </c>
      <c r="V18" s="139" t="s">
        <v>111</v>
      </c>
      <c r="W18" s="139" t="s">
        <v>111</v>
      </c>
      <c r="X18" s="34">
        <v>0.34943544722381709</v>
      </c>
      <c r="Y18" s="34">
        <v>8.0286880361839091E-2</v>
      </c>
      <c r="Z18" s="34">
        <v>3.8852776122196779E-2</v>
      </c>
      <c r="AA18" s="34">
        <v>0.11201068356977363</v>
      </c>
      <c r="AB18" s="34">
        <v>0.12429204044255243</v>
      </c>
      <c r="AC18" s="35">
        <v>8.1660281372656685E-2</v>
      </c>
      <c r="AD18" s="35">
        <v>4.952938149047853E-2</v>
      </c>
      <c r="AE18" s="35">
        <v>8.0825952528718881E-2</v>
      </c>
      <c r="AF18" s="35">
        <v>0.1042882472020485</v>
      </c>
      <c r="AG18" s="35">
        <v>0.12746821131995331</v>
      </c>
      <c r="AH18" s="35">
        <v>9.8181951539364098E-2</v>
      </c>
      <c r="AI18" s="35">
        <v>0.12738162896470218</v>
      </c>
      <c r="AJ18" s="35">
        <v>0.10889834127018767</v>
      </c>
      <c r="AK18" s="35">
        <v>0.12310328932782713</v>
      </c>
      <c r="AL18" s="35">
        <v>0.15504126330838019</v>
      </c>
      <c r="AM18" s="141" t="s">
        <v>111</v>
      </c>
      <c r="AN18" s="122">
        <v>0.13044228123177337</v>
      </c>
      <c r="AO18" s="122">
        <v>0.25944045975490915</v>
      </c>
      <c r="AP18" s="122">
        <v>-1</v>
      </c>
    </row>
    <row r="19" spans="1:42" s="15" customFormat="1" ht="19.5" customHeight="1" x14ac:dyDescent="0.45">
      <c r="A19" s="16" t="s">
        <v>16</v>
      </c>
      <c r="B19" s="36">
        <v>14.793018745809023</v>
      </c>
      <c r="C19" s="36">
        <v>12.829045330912045</v>
      </c>
      <c r="D19" s="36">
        <v>14.098379161168241</v>
      </c>
      <c r="E19" s="36">
        <v>14.658232782489812</v>
      </c>
      <c r="F19" s="36">
        <v>12.856239215580478</v>
      </c>
      <c r="G19" s="36">
        <v>10.958283208030867</v>
      </c>
      <c r="H19" s="36">
        <v>16.662235996892349</v>
      </c>
      <c r="I19" s="36">
        <v>12.18228545553583</v>
      </c>
      <c r="J19" s="36">
        <v>12.707837600895786</v>
      </c>
      <c r="K19" s="36">
        <v>11.562924474967982</v>
      </c>
      <c r="L19" s="36">
        <v>12.194963110378156</v>
      </c>
      <c r="M19" s="36">
        <v>11.318399561788761</v>
      </c>
      <c r="N19" s="36">
        <v>8.9237112208879008</v>
      </c>
      <c r="O19" s="36">
        <v>9.1146988685941643</v>
      </c>
      <c r="P19" s="36">
        <v>12.806720501185701</v>
      </c>
      <c r="Q19" s="36">
        <v>16.879073880656808</v>
      </c>
      <c r="R19" s="36">
        <v>15.786050284971822</v>
      </c>
      <c r="S19" s="36">
        <v>15.113656283703621</v>
      </c>
      <c r="T19" s="36">
        <v>14.080989345078558</v>
      </c>
      <c r="U19" s="36">
        <v>15.115421099202498</v>
      </c>
      <c r="V19" s="36">
        <v>15.116480271186925</v>
      </c>
      <c r="W19" s="36">
        <v>15.77824027194835</v>
      </c>
      <c r="X19" s="36">
        <v>14.979185280429036</v>
      </c>
      <c r="Y19" s="36">
        <v>13.596059651576333</v>
      </c>
      <c r="Z19" s="36">
        <v>14.554551507085392</v>
      </c>
      <c r="AA19" s="36">
        <v>15.519818137015914</v>
      </c>
      <c r="AB19" s="36">
        <v>13.786780297054392</v>
      </c>
      <c r="AC19" s="37">
        <v>11.587229725083123</v>
      </c>
      <c r="AD19" s="37">
        <v>21.70606218540793</v>
      </c>
      <c r="AE19" s="37">
        <v>16.387914811016564</v>
      </c>
      <c r="AF19" s="37">
        <v>13.445561763464227</v>
      </c>
      <c r="AG19" s="37">
        <v>13.383334664345659</v>
      </c>
      <c r="AH19" s="37">
        <v>12.612814610706529</v>
      </c>
      <c r="AI19" s="37">
        <v>14.882394704977363</v>
      </c>
      <c r="AJ19" s="37">
        <v>21.403686032006789</v>
      </c>
      <c r="AK19" s="37">
        <v>19.425671295994221</v>
      </c>
      <c r="AL19" s="37">
        <v>19.799917360375584</v>
      </c>
      <c r="AM19" s="37">
        <v>25.12063951313214</v>
      </c>
      <c r="AN19" s="122">
        <v>-9.2414677222169672E-2</v>
      </c>
      <c r="AO19" s="122">
        <v>1.9265540875209597E-2</v>
      </c>
      <c r="AP19" s="122">
        <v>0.26872446262854632</v>
      </c>
    </row>
    <row r="20" spans="1:42" s="15" customFormat="1" ht="19.5" customHeight="1" x14ac:dyDescent="0.45">
      <c r="A20" s="11" t="s">
        <v>17</v>
      </c>
      <c r="B20" s="34">
        <v>41.905147650234412</v>
      </c>
      <c r="C20" s="34">
        <v>37.543967002509397</v>
      </c>
      <c r="D20" s="34">
        <v>41.04045233048825</v>
      </c>
      <c r="E20" s="34">
        <v>48.997054416318811</v>
      </c>
      <c r="F20" s="34">
        <v>50.161525331790145</v>
      </c>
      <c r="G20" s="34">
        <v>43.311021810381874</v>
      </c>
      <c r="H20" s="34">
        <v>40.614483072151238</v>
      </c>
      <c r="I20" s="34">
        <v>38.30479551215987</v>
      </c>
      <c r="J20" s="34">
        <v>34.197343746346569</v>
      </c>
      <c r="K20" s="34">
        <v>33.912144288131678</v>
      </c>
      <c r="L20" s="34">
        <v>39.351133756447865</v>
      </c>
      <c r="M20" s="34">
        <v>41.134360781105478</v>
      </c>
      <c r="N20" s="34">
        <v>38.992804957859448</v>
      </c>
      <c r="O20" s="34">
        <v>47.228957112820126</v>
      </c>
      <c r="P20" s="34">
        <v>62.786023205976832</v>
      </c>
      <c r="Q20" s="34">
        <v>47.40405557533078</v>
      </c>
      <c r="R20" s="34">
        <v>35.829877613760644</v>
      </c>
      <c r="S20" s="34">
        <v>38.9599095243329</v>
      </c>
      <c r="T20" s="34">
        <v>57.653580941423009</v>
      </c>
      <c r="U20" s="34">
        <v>69.433360922333691</v>
      </c>
      <c r="V20" s="34">
        <v>46.963863311011018</v>
      </c>
      <c r="W20" s="34">
        <v>45.872765812029584</v>
      </c>
      <c r="X20" s="34">
        <v>61.199729889445273</v>
      </c>
      <c r="Y20" s="34">
        <v>75.734781125844975</v>
      </c>
      <c r="Z20" s="34">
        <v>79.419594488172706</v>
      </c>
      <c r="AA20" s="34">
        <v>75.293966722523209</v>
      </c>
      <c r="AB20" s="34">
        <v>79.068457718293317</v>
      </c>
      <c r="AC20" s="35">
        <v>75.184433084719871</v>
      </c>
      <c r="AD20" s="35">
        <v>86.322732402916671</v>
      </c>
      <c r="AE20" s="35">
        <v>79.014320182161143</v>
      </c>
      <c r="AF20" s="35">
        <v>99.688756163333949</v>
      </c>
      <c r="AG20" s="35">
        <v>125.81308979726857</v>
      </c>
      <c r="AH20" s="35">
        <v>136.68428740178604</v>
      </c>
      <c r="AI20" s="35">
        <v>153.44140150673235</v>
      </c>
      <c r="AJ20" s="35">
        <v>151.49854192532376</v>
      </c>
      <c r="AK20" s="35">
        <v>125.21009354880785</v>
      </c>
      <c r="AL20" s="35">
        <v>166.46298374535064</v>
      </c>
      <c r="AM20" s="35">
        <v>154.62584027731017</v>
      </c>
      <c r="AN20" s="122">
        <v>-0.17352278142369149</v>
      </c>
      <c r="AO20" s="122">
        <v>0.32946936646494951</v>
      </c>
      <c r="AP20" s="122">
        <v>-7.1109763874883547E-2</v>
      </c>
    </row>
    <row r="21" spans="1:42" s="15" customFormat="1" ht="19.5" customHeight="1" x14ac:dyDescent="0.45">
      <c r="A21" s="16" t="s">
        <v>75</v>
      </c>
      <c r="B21" s="36">
        <v>1.3319270103324621</v>
      </c>
      <c r="C21" s="36">
        <v>0.85667284701952817</v>
      </c>
      <c r="D21" s="36">
        <v>0.68565553818007496</v>
      </c>
      <c r="E21" s="36">
        <v>0.26719663012919698</v>
      </c>
      <c r="F21" s="36">
        <v>0.39296513030650615</v>
      </c>
      <c r="G21" s="36">
        <v>0.51643705221748182</v>
      </c>
      <c r="H21" s="36">
        <v>0.52708993206944321</v>
      </c>
      <c r="I21" s="36">
        <v>0.44088415657030122</v>
      </c>
      <c r="J21" s="36">
        <v>0.59811638965391711</v>
      </c>
      <c r="K21" s="36">
        <v>0.78958125240053478</v>
      </c>
      <c r="L21" s="36">
        <v>1.1583019675776589</v>
      </c>
      <c r="M21" s="36">
        <v>1.6190159736959655</v>
      </c>
      <c r="N21" s="36">
        <v>0.85011767128250404</v>
      </c>
      <c r="O21" s="36">
        <v>0.9681433226815056</v>
      </c>
      <c r="P21" s="36">
        <v>1.0143018861987345</v>
      </c>
      <c r="Q21" s="36">
        <v>0.7415039983519075</v>
      </c>
      <c r="R21" s="36">
        <v>0.77706889918243327</v>
      </c>
      <c r="S21" s="36">
        <v>0.73533232750955091</v>
      </c>
      <c r="T21" s="36">
        <v>0.87734736142909564</v>
      </c>
      <c r="U21" s="36">
        <v>0.84641744225006066</v>
      </c>
      <c r="V21" s="36">
        <v>0.73185136064335665</v>
      </c>
      <c r="W21" s="36">
        <v>0.76530410900189283</v>
      </c>
      <c r="X21" s="36">
        <v>0.94276063381865782</v>
      </c>
      <c r="Y21" s="36">
        <v>1.0580660655844054</v>
      </c>
      <c r="Z21" s="36">
        <v>1.0663224068536912</v>
      </c>
      <c r="AA21" s="36">
        <v>1.4614947224996742</v>
      </c>
      <c r="AB21" s="36">
        <v>2.5394871755034059</v>
      </c>
      <c r="AC21" s="37">
        <v>2.4401964349279832</v>
      </c>
      <c r="AD21" s="37">
        <v>2.4419318582227354</v>
      </c>
      <c r="AE21" s="142" t="s">
        <v>111</v>
      </c>
      <c r="AF21" s="142" t="s">
        <v>111</v>
      </c>
      <c r="AG21" s="142" t="s">
        <v>111</v>
      </c>
      <c r="AH21" s="142" t="s">
        <v>111</v>
      </c>
      <c r="AI21" s="142" t="s">
        <v>111</v>
      </c>
      <c r="AJ21" s="142" t="s">
        <v>111</v>
      </c>
      <c r="AK21" s="142" t="s">
        <v>111</v>
      </c>
      <c r="AL21" s="142" t="s">
        <v>111</v>
      </c>
      <c r="AM21" s="142" t="s">
        <v>111</v>
      </c>
      <c r="AN21" s="122" t="s">
        <v>111</v>
      </c>
      <c r="AO21" s="122" t="s">
        <v>111</v>
      </c>
      <c r="AP21" s="122" t="s">
        <v>111</v>
      </c>
    </row>
    <row r="22" spans="1:42" s="15" customFormat="1" ht="19.5" customHeight="1" x14ac:dyDescent="0.45">
      <c r="A22" s="11" t="s">
        <v>18</v>
      </c>
      <c r="B22" s="34">
        <v>61.568896121324912</v>
      </c>
      <c r="C22" s="34">
        <v>39.316708945447573</v>
      </c>
      <c r="D22" s="34">
        <v>36.093629135369135</v>
      </c>
      <c r="E22" s="34">
        <v>49.281100235083578</v>
      </c>
      <c r="F22" s="34">
        <v>56.855250129940352</v>
      </c>
      <c r="G22" s="34">
        <v>50.519290560217769</v>
      </c>
      <c r="H22" s="34">
        <v>41.33114715824123</v>
      </c>
      <c r="I22" s="34">
        <v>48.089880852426688</v>
      </c>
      <c r="J22" s="34">
        <v>58.804439843504888</v>
      </c>
      <c r="K22" s="34">
        <v>56.301594567657745</v>
      </c>
      <c r="L22" s="34">
        <v>58.588496490869339</v>
      </c>
      <c r="M22" s="34">
        <v>59.203614817316172</v>
      </c>
      <c r="N22" s="34">
        <v>76.771510075093076</v>
      </c>
      <c r="O22" s="34">
        <v>106.42240212743867</v>
      </c>
      <c r="P22" s="34">
        <v>131.35552966939403</v>
      </c>
      <c r="Q22" s="34">
        <v>122.79430070152281</v>
      </c>
      <c r="R22" s="34">
        <v>87.698354211069841</v>
      </c>
      <c r="S22" s="34">
        <v>76.659626019922186</v>
      </c>
      <c r="T22" s="34">
        <v>97.211324269776782</v>
      </c>
      <c r="U22" s="34">
        <v>126.88816798787958</v>
      </c>
      <c r="V22" s="34">
        <v>123.10532995808309</v>
      </c>
      <c r="W22" s="34">
        <v>120.6027618019708</v>
      </c>
      <c r="X22" s="34">
        <v>134.60945463986823</v>
      </c>
      <c r="Y22" s="34">
        <v>157.25069349370639</v>
      </c>
      <c r="Z22" s="34">
        <v>186.13763378581976</v>
      </c>
      <c r="AA22" s="34">
        <v>188.48759084554959</v>
      </c>
      <c r="AB22" s="34">
        <v>207.24086462879831</v>
      </c>
      <c r="AC22" s="35">
        <v>208.57154769569658</v>
      </c>
      <c r="AD22" s="35">
        <v>212.982254541456</v>
      </c>
      <c r="AE22" s="35">
        <v>238.72557903441856</v>
      </c>
      <c r="AF22" s="35">
        <v>215.79510450870174</v>
      </c>
      <c r="AG22" s="35">
        <v>308.26087528730062</v>
      </c>
      <c r="AH22" s="35">
        <v>393.26417038421761</v>
      </c>
      <c r="AI22" s="35">
        <v>345.92553859489607</v>
      </c>
      <c r="AJ22" s="35">
        <v>354.1614517819765</v>
      </c>
      <c r="AK22" s="35">
        <v>297.8629129098228</v>
      </c>
      <c r="AL22" s="35">
        <v>329.75359360743886</v>
      </c>
      <c r="AM22" s="35">
        <v>342.09314417019613</v>
      </c>
      <c r="AN22" s="122">
        <v>-0.15896292097540687</v>
      </c>
      <c r="AO22" s="122">
        <v>0.10706495946768269</v>
      </c>
      <c r="AP22" s="122">
        <v>3.7420518841857042E-2</v>
      </c>
    </row>
    <row r="23" spans="1:42" s="15" customFormat="1" ht="19.5" customHeight="1" x14ac:dyDescent="0.45">
      <c r="A23" s="16" t="s">
        <v>19</v>
      </c>
      <c r="B23" s="36">
        <v>8.4658656024849677</v>
      </c>
      <c r="C23" s="36">
        <v>10.442191989586529</v>
      </c>
      <c r="D23" s="36">
        <v>8.4404307911727106</v>
      </c>
      <c r="E23" s="36">
        <v>6.5574319197288267</v>
      </c>
      <c r="F23" s="36">
        <v>7.1501998634691981</v>
      </c>
      <c r="G23" s="36">
        <v>11.882295219018724</v>
      </c>
      <c r="H23" s="36">
        <v>10.360157099014469</v>
      </c>
      <c r="I23" s="36">
        <v>8.1877130078281581</v>
      </c>
      <c r="J23" s="36">
        <v>7.2030115536836075</v>
      </c>
      <c r="K23" s="36">
        <v>9.0864031147281565</v>
      </c>
      <c r="L23" s="36">
        <v>9.1558461505842228</v>
      </c>
      <c r="M23" s="36">
        <v>8.3119989327951789</v>
      </c>
      <c r="N23" s="36">
        <v>7.6456056078736436</v>
      </c>
      <c r="O23" s="36">
        <v>9.2630359219671803</v>
      </c>
      <c r="P23" s="36">
        <v>11.005672724880238</v>
      </c>
      <c r="Q23" s="36">
        <v>12.063118677994778</v>
      </c>
      <c r="R23" s="36">
        <v>11.425717181952136</v>
      </c>
      <c r="S23" s="36">
        <v>9.9047948010591487</v>
      </c>
      <c r="T23" s="36">
        <v>11.066415175392741</v>
      </c>
      <c r="U23" s="36">
        <v>12.269637826367852</v>
      </c>
      <c r="V23" s="36">
        <v>14.557642849735201</v>
      </c>
      <c r="W23" s="36">
        <v>14.483137826359402</v>
      </c>
      <c r="X23" s="36">
        <v>15.9024510019891</v>
      </c>
      <c r="Y23" s="36">
        <v>14.903127425394137</v>
      </c>
      <c r="Z23" s="36">
        <v>28.375994752701867</v>
      </c>
      <c r="AA23" s="36">
        <v>29.804806643217191</v>
      </c>
      <c r="AB23" s="36">
        <v>27.634644762418148</v>
      </c>
      <c r="AC23" s="37">
        <v>15.754495579282164</v>
      </c>
      <c r="AD23" s="37">
        <v>14.88317199227513</v>
      </c>
      <c r="AE23" s="37">
        <v>15.725099325954988</v>
      </c>
      <c r="AF23" s="37">
        <v>16.230167740738082</v>
      </c>
      <c r="AG23" s="37">
        <v>14.097587019072662</v>
      </c>
      <c r="AH23" s="37">
        <v>12.433135757560231</v>
      </c>
      <c r="AI23" s="37">
        <v>15.315824802394648</v>
      </c>
      <c r="AJ23" s="37">
        <v>18.868399455720724</v>
      </c>
      <c r="AK23" s="37">
        <v>20.47743021853287</v>
      </c>
      <c r="AL23" s="37">
        <v>20.557729932354505</v>
      </c>
      <c r="AM23" s="37">
        <v>17.412295669308108</v>
      </c>
      <c r="AN23" s="122">
        <v>8.5276483921602697E-2</v>
      </c>
      <c r="AO23" s="122">
        <v>3.921376508901897E-3</v>
      </c>
      <c r="AP23" s="122">
        <v>-0.1530049413722474</v>
      </c>
    </row>
    <row r="24" spans="1:42" s="15" customFormat="1" ht="19.5" customHeight="1" x14ac:dyDescent="0.45">
      <c r="A24" s="11" t="s">
        <v>20</v>
      </c>
      <c r="B24" s="34">
        <v>11.154535020406337</v>
      </c>
      <c r="C24" s="34">
        <v>4.9468463969392875</v>
      </c>
      <c r="D24" s="34">
        <v>4.4638756040870398</v>
      </c>
      <c r="E24" s="34">
        <v>5.3591309184378124</v>
      </c>
      <c r="F24" s="34">
        <v>3.5179208324485622</v>
      </c>
      <c r="G24" s="34">
        <v>2.9896220303588859</v>
      </c>
      <c r="H24" s="34">
        <v>2.1630864358392539</v>
      </c>
      <c r="I24" s="34">
        <v>5.581226469680808</v>
      </c>
      <c r="J24" s="34">
        <v>3.1001384749414145</v>
      </c>
      <c r="K24" s="34">
        <v>2.7817864115472131</v>
      </c>
      <c r="L24" s="34">
        <v>3.4762717291744667</v>
      </c>
      <c r="M24" s="34">
        <v>2.3597521860256983</v>
      </c>
      <c r="N24" s="34">
        <v>4.8288827029602315</v>
      </c>
      <c r="O24" s="34">
        <v>5.8282348544178113</v>
      </c>
      <c r="P24" s="34">
        <v>11.48686424152017</v>
      </c>
      <c r="Q24" s="34">
        <v>8.9467200343173836</v>
      </c>
      <c r="R24" s="34">
        <v>5.7018877297741559</v>
      </c>
      <c r="S24" s="34">
        <v>2.9392021284993333</v>
      </c>
      <c r="T24" s="34">
        <v>6.0157328125780305</v>
      </c>
      <c r="U24" s="34">
        <v>9.1340905519140776</v>
      </c>
      <c r="V24" s="34">
        <v>6.3195495804044564</v>
      </c>
      <c r="W24" s="34">
        <v>7.0788126854193045</v>
      </c>
      <c r="X24" s="34">
        <v>6.0990193537561712</v>
      </c>
      <c r="Y24" s="34">
        <v>7.310424339177886</v>
      </c>
      <c r="Z24" s="34">
        <v>9.7520470273746174</v>
      </c>
      <c r="AA24" s="34">
        <v>8.3364235154464801</v>
      </c>
      <c r="AB24" s="34">
        <v>6.8670030381724683</v>
      </c>
      <c r="AC24" s="35">
        <v>8.9896680803766387</v>
      </c>
      <c r="AD24" s="35">
        <v>4.568489819009713</v>
      </c>
      <c r="AE24" s="35">
        <v>7.3596260912548255</v>
      </c>
      <c r="AF24" s="35">
        <v>7.0363010399270856</v>
      </c>
      <c r="AG24" s="35">
        <v>10.220172118469566</v>
      </c>
      <c r="AH24" s="35">
        <v>13.423494801090607</v>
      </c>
      <c r="AI24" s="35">
        <v>18.891610992791769</v>
      </c>
      <c r="AJ24" s="35">
        <v>11.016161812270468</v>
      </c>
      <c r="AK24" s="35">
        <v>10.505574033052458</v>
      </c>
      <c r="AL24" s="35">
        <v>10.42375402336677</v>
      </c>
      <c r="AM24" s="35">
        <v>8.6153111734000003</v>
      </c>
      <c r="AN24" s="122">
        <v>-4.6348972347999395E-2</v>
      </c>
      <c r="AO24" s="122">
        <v>-7.7882474035465554E-3</v>
      </c>
      <c r="AP24" s="122">
        <v>-0.17349247170576088</v>
      </c>
    </row>
    <row r="25" spans="1:42" s="15" customFormat="1" ht="19.5" customHeight="1" x14ac:dyDescent="0.45">
      <c r="A25" s="16" t="s">
        <v>21</v>
      </c>
      <c r="B25" s="36">
        <v>2.3751506175018386</v>
      </c>
      <c r="C25" s="36">
        <v>2.7309043149293832</v>
      </c>
      <c r="D25" s="36">
        <v>1.1905009888345317</v>
      </c>
      <c r="E25" s="36">
        <v>0.26366856517480164</v>
      </c>
      <c r="F25" s="36">
        <v>0.37314372423780212</v>
      </c>
      <c r="G25" s="36">
        <v>1.3708743751955641</v>
      </c>
      <c r="H25" s="36">
        <v>2.3455361138183459</v>
      </c>
      <c r="I25" s="36">
        <v>1.0074792938193355</v>
      </c>
      <c r="J25" s="36">
        <v>1.6887190141124642</v>
      </c>
      <c r="K25" s="36">
        <v>5.4154817601145355</v>
      </c>
      <c r="L25" s="36">
        <v>4.4810312760925441</v>
      </c>
      <c r="M25" s="36">
        <v>1.7671880807956026</v>
      </c>
      <c r="N25" s="36">
        <v>3.6562024003382851</v>
      </c>
      <c r="O25" s="36">
        <v>3.4528353940364123</v>
      </c>
      <c r="P25" s="36">
        <v>4.5033733139680585</v>
      </c>
      <c r="Q25" s="36">
        <v>8.3054272849478661</v>
      </c>
      <c r="R25" s="36">
        <v>3.3805694153523844</v>
      </c>
      <c r="S25" s="36">
        <v>2.9556139384848068</v>
      </c>
      <c r="T25" s="36">
        <v>6.5690915332680246</v>
      </c>
      <c r="U25" s="36">
        <v>3.2435984303726499</v>
      </c>
      <c r="V25" s="36">
        <v>10.353211900588793</v>
      </c>
      <c r="W25" s="36">
        <v>8.3026902593676937</v>
      </c>
      <c r="X25" s="36">
        <v>11.281735000996884</v>
      </c>
      <c r="Y25" s="36">
        <v>9.4689438237525234</v>
      </c>
      <c r="Z25" s="36">
        <v>8.2769254136373362</v>
      </c>
      <c r="AA25" s="36">
        <v>8.5795190800400949</v>
      </c>
      <c r="AB25" s="36">
        <v>7.1572759434705038</v>
      </c>
      <c r="AC25" s="37">
        <v>6.2362124684301339</v>
      </c>
      <c r="AD25" s="37">
        <v>10.283537248519666</v>
      </c>
      <c r="AE25" s="37">
        <v>8.7544527396316276</v>
      </c>
      <c r="AF25" s="37">
        <v>8.5412406471295643</v>
      </c>
      <c r="AG25" s="37">
        <v>7.4495353860082538</v>
      </c>
      <c r="AH25" s="37">
        <v>7.2978062627586286</v>
      </c>
      <c r="AI25" s="37">
        <v>6.6634722910371442</v>
      </c>
      <c r="AJ25" s="37">
        <v>8.073616361907602</v>
      </c>
      <c r="AK25" s="37">
        <v>11.175238808495129</v>
      </c>
      <c r="AL25" s="37">
        <v>12.731642898238594</v>
      </c>
      <c r="AM25" s="37">
        <v>10.577143007999998</v>
      </c>
      <c r="AN25" s="122">
        <v>0.38416767747615488</v>
      </c>
      <c r="AO25" s="122">
        <v>0.13927255751888956</v>
      </c>
      <c r="AP25" s="122">
        <v>-0.16922402768119327</v>
      </c>
    </row>
    <row r="26" spans="1:42" s="15" customFormat="1" ht="19.5" customHeight="1" x14ac:dyDescent="0.45">
      <c r="A26" s="11" t="s">
        <v>76</v>
      </c>
      <c r="B26" s="139" t="s">
        <v>111</v>
      </c>
      <c r="C26" s="139" t="s">
        <v>111</v>
      </c>
      <c r="D26" s="139" t="s">
        <v>111</v>
      </c>
      <c r="E26" s="139" t="s">
        <v>111</v>
      </c>
      <c r="F26" s="139" t="s">
        <v>111</v>
      </c>
      <c r="G26" s="139" t="s">
        <v>111</v>
      </c>
      <c r="H26" s="139" t="s">
        <v>111</v>
      </c>
      <c r="I26" s="139" t="s">
        <v>111</v>
      </c>
      <c r="J26" s="139" t="s">
        <v>111</v>
      </c>
      <c r="K26" s="139" t="s">
        <v>111</v>
      </c>
      <c r="L26" s="139" t="s">
        <v>111</v>
      </c>
      <c r="M26" s="139" t="s">
        <v>111</v>
      </c>
      <c r="N26" s="139" t="s">
        <v>111</v>
      </c>
      <c r="O26" s="139" t="s">
        <v>111</v>
      </c>
      <c r="P26" s="139" t="s">
        <v>111</v>
      </c>
      <c r="Q26" s="139" t="s">
        <v>111</v>
      </c>
      <c r="R26" s="139" t="s">
        <v>111</v>
      </c>
      <c r="S26" s="139" t="s">
        <v>111</v>
      </c>
      <c r="T26" s="139" t="s">
        <v>111</v>
      </c>
      <c r="U26" s="139" t="s">
        <v>111</v>
      </c>
      <c r="V26" s="139" t="s">
        <v>111</v>
      </c>
      <c r="W26" s="139" t="s">
        <v>111</v>
      </c>
      <c r="X26" s="34">
        <v>6.2174787347687896</v>
      </c>
      <c r="Y26" s="34">
        <v>6.642287685094777</v>
      </c>
      <c r="Z26" s="34">
        <v>7.2255731032505768</v>
      </c>
      <c r="AA26" s="34">
        <v>8.0633639465239106</v>
      </c>
      <c r="AB26" s="34">
        <v>7.0095349629820758</v>
      </c>
      <c r="AC26" s="35">
        <v>7.8229852124100097</v>
      </c>
      <c r="AD26" s="35">
        <v>6.1404749760463826</v>
      </c>
      <c r="AE26" s="141" t="s">
        <v>111</v>
      </c>
      <c r="AF26" s="141" t="s">
        <v>111</v>
      </c>
      <c r="AG26" s="141" t="s">
        <v>111</v>
      </c>
      <c r="AH26" s="141" t="s">
        <v>111</v>
      </c>
      <c r="AI26" s="141" t="s">
        <v>111</v>
      </c>
      <c r="AJ26" s="141" t="s">
        <v>111</v>
      </c>
      <c r="AK26" s="141" t="s">
        <v>111</v>
      </c>
      <c r="AL26" s="141" t="s">
        <v>111</v>
      </c>
      <c r="AM26" s="141" t="s">
        <v>111</v>
      </c>
      <c r="AN26" s="122" t="s">
        <v>111</v>
      </c>
      <c r="AO26" s="122" t="s">
        <v>111</v>
      </c>
      <c r="AP26" s="122" t="s">
        <v>111</v>
      </c>
    </row>
    <row r="27" spans="1:42" s="10" customFormat="1" ht="19.5" customHeight="1" thickBot="1" x14ac:dyDescent="0.5">
      <c r="A27" s="38" t="s">
        <v>22</v>
      </c>
      <c r="B27" s="39">
        <v>293.88567928376051</v>
      </c>
      <c r="C27" s="39">
        <v>259.40393197312346</v>
      </c>
      <c r="D27" s="39">
        <v>257.97901361243356</v>
      </c>
      <c r="E27" s="39">
        <v>278.41178173277967</v>
      </c>
      <c r="F27" s="39">
        <v>268.87397682132746</v>
      </c>
      <c r="G27" s="39">
        <v>283.20846582169025</v>
      </c>
      <c r="H27" s="39">
        <v>263.85938360467969</v>
      </c>
      <c r="I27" s="39">
        <v>242.81300252989092</v>
      </c>
      <c r="J27" s="39">
        <v>293.61038975237722</v>
      </c>
      <c r="K27" s="39">
        <v>305.66264603927891</v>
      </c>
      <c r="L27" s="39">
        <v>305.55128638028975</v>
      </c>
      <c r="M27" s="39">
        <v>282.13214660944357</v>
      </c>
      <c r="N27" s="39">
        <v>313.3966378430261</v>
      </c>
      <c r="O27" s="39">
        <v>374.3631028415038</v>
      </c>
      <c r="P27" s="39">
        <v>424.89926225784154</v>
      </c>
      <c r="Q27" s="39">
        <v>421.78830198685733</v>
      </c>
      <c r="R27" s="39">
        <v>356.60298044427878</v>
      </c>
      <c r="S27" s="39">
        <v>358.78149011505462</v>
      </c>
      <c r="T27" s="39">
        <v>405.17830382985989</v>
      </c>
      <c r="U27" s="39">
        <v>465.24473871489016</v>
      </c>
      <c r="V27" s="39">
        <v>441.920882001797</v>
      </c>
      <c r="W27" s="39">
        <v>458.3207950072491</v>
      </c>
      <c r="X27" s="39">
        <v>532.28294692685176</v>
      </c>
      <c r="Y27" s="39">
        <v>561.22795031221733</v>
      </c>
      <c r="Z27" s="39">
        <v>610.61959330762966</v>
      </c>
      <c r="AA27" s="39">
        <v>618.47571429682648</v>
      </c>
      <c r="AB27" s="39">
        <v>620.71977467527677</v>
      </c>
      <c r="AC27" s="40">
        <v>628.56892558466609</v>
      </c>
      <c r="AD27" s="40">
        <v>631.17866047120663</v>
      </c>
      <c r="AE27" s="40">
        <v>609.68316967612589</v>
      </c>
      <c r="AF27" s="40">
        <v>600.91552294898929</v>
      </c>
      <c r="AG27" s="40">
        <v>732.5301145926453</v>
      </c>
      <c r="AH27" s="40">
        <v>830.22788119648988</v>
      </c>
      <c r="AI27" s="40">
        <v>834.92163694237945</v>
      </c>
      <c r="AJ27" s="40">
        <v>868.86817223696096</v>
      </c>
      <c r="AK27" s="40">
        <v>842.81857665201164</v>
      </c>
      <c r="AL27" s="40">
        <v>932.34173251513732</v>
      </c>
      <c r="AM27" s="40">
        <v>895.31137119525681</v>
      </c>
      <c r="AN27" s="122">
        <v>-2.9981067804432104E-2</v>
      </c>
      <c r="AO27" s="122">
        <v>0.10621877393678836</v>
      </c>
      <c r="AP27" s="122">
        <v>-3.971758425956684E-2</v>
      </c>
    </row>
    <row r="28" spans="1:42" s="15" customFormat="1" ht="19.5" customHeight="1" thickTop="1" x14ac:dyDescent="0.45">
      <c r="A28" s="11" t="s">
        <v>23</v>
      </c>
      <c r="B28" s="139" t="s">
        <v>111</v>
      </c>
      <c r="C28" s="139" t="s">
        <v>111</v>
      </c>
      <c r="D28" s="139" t="s">
        <v>111</v>
      </c>
      <c r="E28" s="139" t="s">
        <v>111</v>
      </c>
      <c r="F28" s="139" t="s">
        <v>111</v>
      </c>
      <c r="G28" s="139" t="s">
        <v>111</v>
      </c>
      <c r="H28" s="139" t="s">
        <v>111</v>
      </c>
      <c r="I28" s="139" t="s">
        <v>111</v>
      </c>
      <c r="J28" s="139" t="s">
        <v>111</v>
      </c>
      <c r="K28" s="139" t="s">
        <v>111</v>
      </c>
      <c r="L28" s="139" t="s">
        <v>111</v>
      </c>
      <c r="M28" s="34">
        <v>60.129986305394759</v>
      </c>
      <c r="N28" s="34">
        <v>66.468093279969921</v>
      </c>
      <c r="O28" s="34">
        <v>70.535204751500842</v>
      </c>
      <c r="P28" s="34">
        <v>71.188393916858502</v>
      </c>
      <c r="Q28" s="34">
        <v>80.095347548625043</v>
      </c>
      <c r="R28" s="34">
        <v>77.761131967688556</v>
      </c>
      <c r="S28" s="34">
        <v>80.735199776498206</v>
      </c>
      <c r="T28" s="34">
        <v>87.740505912911573</v>
      </c>
      <c r="U28" s="34">
        <v>96.875838782232805</v>
      </c>
      <c r="V28" s="34">
        <v>95.865406183645234</v>
      </c>
      <c r="W28" s="34">
        <v>101.07099432420286</v>
      </c>
      <c r="X28" s="34">
        <v>106.8477932638086</v>
      </c>
      <c r="Y28" s="34">
        <v>108.44037988755791</v>
      </c>
      <c r="Z28" s="34">
        <v>117.51101632112892</v>
      </c>
      <c r="AA28" s="34">
        <v>134.9987513240676</v>
      </c>
      <c r="AB28" s="34">
        <v>139.64488893775416</v>
      </c>
      <c r="AC28" s="35">
        <v>130.7141978418191</v>
      </c>
      <c r="AD28" s="35">
        <v>128.27340592260884</v>
      </c>
      <c r="AE28" s="35">
        <v>129.1329908707028</v>
      </c>
      <c r="AF28" s="35">
        <v>138.27304942164628</v>
      </c>
      <c r="AG28" s="35">
        <v>158.60775389997289</v>
      </c>
      <c r="AH28" s="35">
        <v>161.7381000369603</v>
      </c>
      <c r="AI28" s="35">
        <v>157.82238390722458</v>
      </c>
      <c r="AJ28" s="35">
        <v>150.67380511686315</v>
      </c>
      <c r="AK28" s="35">
        <v>170.49608358468811</v>
      </c>
      <c r="AL28" s="35">
        <v>211.90589064306468</v>
      </c>
      <c r="AM28" s="35">
        <v>218.70005266668539</v>
      </c>
      <c r="AN28" s="122">
        <v>0.13155756206230218</v>
      </c>
      <c r="AO28" s="122">
        <v>0.24287834762965477</v>
      </c>
      <c r="AP28" s="122">
        <v>3.2062166856252405E-2</v>
      </c>
    </row>
    <row r="29" spans="1:42" s="15" customFormat="1" ht="19.5" customHeight="1" x14ac:dyDescent="0.45">
      <c r="A29" s="16" t="s">
        <v>24</v>
      </c>
      <c r="B29" s="140" t="s">
        <v>111</v>
      </c>
      <c r="C29" s="140" t="s">
        <v>111</v>
      </c>
      <c r="D29" s="140" t="s">
        <v>111</v>
      </c>
      <c r="E29" s="140" t="s">
        <v>111</v>
      </c>
      <c r="F29" s="140" t="s">
        <v>111</v>
      </c>
      <c r="G29" s="140" t="s">
        <v>111</v>
      </c>
      <c r="H29" s="140" t="s">
        <v>111</v>
      </c>
      <c r="I29" s="140" t="s">
        <v>111</v>
      </c>
      <c r="J29" s="140" t="s">
        <v>111</v>
      </c>
      <c r="K29" s="140" t="s">
        <v>111</v>
      </c>
      <c r="L29" s="140" t="s">
        <v>111</v>
      </c>
      <c r="M29" s="36">
        <v>10.887453382175512</v>
      </c>
      <c r="N29" s="36">
        <v>13.061923715546989</v>
      </c>
      <c r="O29" s="36">
        <v>13.387421542109365</v>
      </c>
      <c r="P29" s="36">
        <v>14.307644030893936</v>
      </c>
      <c r="Q29" s="36">
        <v>16.08628263345776</v>
      </c>
      <c r="R29" s="36">
        <v>18.65062524571692</v>
      </c>
      <c r="S29" s="36">
        <v>16.405908742628952</v>
      </c>
      <c r="T29" s="36">
        <v>17.54298596950008</v>
      </c>
      <c r="U29" s="36">
        <v>20.772687763362097</v>
      </c>
      <c r="V29" s="36">
        <v>20.998015557539993</v>
      </c>
      <c r="W29" s="36">
        <v>23.099922418028466</v>
      </c>
      <c r="X29" s="36">
        <v>23.136124902579041</v>
      </c>
      <c r="Y29" s="36">
        <v>21.723651343256908</v>
      </c>
      <c r="Z29" s="36">
        <v>25.152701224104341</v>
      </c>
      <c r="AA29" s="36">
        <v>26.418426036535919</v>
      </c>
      <c r="AB29" s="36">
        <v>28.233107789675739</v>
      </c>
      <c r="AC29" s="37">
        <v>26.055052252422261</v>
      </c>
      <c r="AD29" s="37">
        <v>38.84069226457904</v>
      </c>
      <c r="AE29" s="37">
        <v>30.90389580451307</v>
      </c>
      <c r="AF29" s="37">
        <v>38.257306254392212</v>
      </c>
      <c r="AG29" s="37">
        <v>51.434003079812769</v>
      </c>
      <c r="AH29" s="37">
        <v>47.783111023652189</v>
      </c>
      <c r="AI29" s="37">
        <v>41.692397842071578</v>
      </c>
      <c r="AJ29" s="37">
        <v>47.70113829437809</v>
      </c>
      <c r="AK29" s="37">
        <v>55.94567123646145</v>
      </c>
      <c r="AL29" s="37">
        <v>63.14991388213312</v>
      </c>
      <c r="AM29" s="37">
        <v>60.348533394317464</v>
      </c>
      <c r="AN29" s="122">
        <v>0.17283723694818076</v>
      </c>
      <c r="AO29" s="122">
        <v>0.1287721192086877</v>
      </c>
      <c r="AP29" s="122">
        <v>-4.4360796644067113E-2</v>
      </c>
    </row>
    <row r="30" spans="1:42" s="15" customFormat="1" ht="19.5" customHeight="1" x14ac:dyDescent="0.45">
      <c r="A30" s="11" t="s">
        <v>25</v>
      </c>
      <c r="B30" s="139" t="s">
        <v>111</v>
      </c>
      <c r="C30" s="139" t="s">
        <v>111</v>
      </c>
      <c r="D30" s="139" t="s">
        <v>111</v>
      </c>
      <c r="E30" s="139" t="s">
        <v>111</v>
      </c>
      <c r="F30" s="139" t="s">
        <v>111</v>
      </c>
      <c r="G30" s="139" t="s">
        <v>111</v>
      </c>
      <c r="H30" s="139" t="s">
        <v>111</v>
      </c>
      <c r="I30" s="139" t="s">
        <v>111</v>
      </c>
      <c r="J30" s="139" t="s">
        <v>111</v>
      </c>
      <c r="K30" s="139" t="s">
        <v>111</v>
      </c>
      <c r="L30" s="139" t="s">
        <v>111</v>
      </c>
      <c r="M30" s="34">
        <v>30.035383974479391</v>
      </c>
      <c r="N30" s="34">
        <v>31.34540292366805</v>
      </c>
      <c r="O30" s="34">
        <v>35.595245354240966</v>
      </c>
      <c r="P30" s="34">
        <v>40.522094963676963</v>
      </c>
      <c r="Q30" s="34">
        <v>43.055506382314093</v>
      </c>
      <c r="R30" s="34">
        <v>50.959331007119758</v>
      </c>
      <c r="S30" s="34">
        <v>46.620993564874247</v>
      </c>
      <c r="T30" s="34">
        <v>62.769323138435922</v>
      </c>
      <c r="U30" s="34">
        <v>70.721581287919165</v>
      </c>
      <c r="V30" s="34">
        <v>67.60233969195852</v>
      </c>
      <c r="W30" s="34">
        <v>66.387231608049802</v>
      </c>
      <c r="X30" s="34">
        <v>71.408064963130826</v>
      </c>
      <c r="Y30" s="34">
        <v>71.911204163938592</v>
      </c>
      <c r="Z30" s="34">
        <v>79.780193771397137</v>
      </c>
      <c r="AA30" s="34">
        <v>77.330747155643877</v>
      </c>
      <c r="AB30" s="34">
        <v>82.315188925721998</v>
      </c>
      <c r="AC30" s="35">
        <v>84.012557446191678</v>
      </c>
      <c r="AD30" s="35">
        <v>76.414301697416661</v>
      </c>
      <c r="AE30" s="35">
        <v>75.968907329606637</v>
      </c>
      <c r="AF30" s="35">
        <v>88.531384095627615</v>
      </c>
      <c r="AG30" s="35">
        <v>87.323335025078521</v>
      </c>
      <c r="AH30" s="35">
        <v>101.91395045677832</v>
      </c>
      <c r="AI30" s="35">
        <v>99.332467365306798</v>
      </c>
      <c r="AJ30" s="35">
        <v>95.982288950116256</v>
      </c>
      <c r="AK30" s="35">
        <v>106.82232663328939</v>
      </c>
      <c r="AL30" s="35">
        <v>112.67303437327176</v>
      </c>
      <c r="AM30" s="35">
        <v>104.30397492192</v>
      </c>
      <c r="AN30" s="122">
        <v>0.11293789512361907</v>
      </c>
      <c r="AO30" s="122">
        <v>5.4770457865678912E-2</v>
      </c>
      <c r="AP30" s="122">
        <v>-7.4277394745810299E-2</v>
      </c>
    </row>
    <row r="31" spans="1:42" s="15" customFormat="1" ht="19.5" customHeight="1" x14ac:dyDescent="0.45">
      <c r="A31" s="16" t="s">
        <v>26</v>
      </c>
      <c r="B31" s="140" t="s">
        <v>111</v>
      </c>
      <c r="C31" s="140" t="s">
        <v>111</v>
      </c>
      <c r="D31" s="140" t="s">
        <v>111</v>
      </c>
      <c r="E31" s="140" t="s">
        <v>111</v>
      </c>
      <c r="F31" s="140" t="s">
        <v>111</v>
      </c>
      <c r="G31" s="140" t="s">
        <v>111</v>
      </c>
      <c r="H31" s="140" t="s">
        <v>111</v>
      </c>
      <c r="I31" s="140" t="s">
        <v>111</v>
      </c>
      <c r="J31" s="140" t="s">
        <v>111</v>
      </c>
      <c r="K31" s="140" t="s">
        <v>111</v>
      </c>
      <c r="L31" s="140" t="s">
        <v>111</v>
      </c>
      <c r="M31" s="36">
        <v>23.750707530521208</v>
      </c>
      <c r="N31" s="36">
        <v>22.854861195013619</v>
      </c>
      <c r="O31" s="36">
        <v>23.142390459296283</v>
      </c>
      <c r="P31" s="36">
        <v>25.484774091857048</v>
      </c>
      <c r="Q31" s="36">
        <v>26.046676728942266</v>
      </c>
      <c r="R31" s="36">
        <v>29.295135203293995</v>
      </c>
      <c r="S31" s="36">
        <v>27.981882631539744</v>
      </c>
      <c r="T31" s="36">
        <v>34.399534383442322</v>
      </c>
      <c r="U31" s="36">
        <v>38.697541114517634</v>
      </c>
      <c r="V31" s="36">
        <v>39.452568852822694</v>
      </c>
      <c r="W31" s="36">
        <v>43.569821944836718</v>
      </c>
      <c r="X31" s="36">
        <v>44.915328158163625</v>
      </c>
      <c r="Y31" s="36">
        <v>46.934782485613191</v>
      </c>
      <c r="Z31" s="36">
        <v>54.312820296148303</v>
      </c>
      <c r="AA31" s="36">
        <v>58.650592435569884</v>
      </c>
      <c r="AB31" s="36">
        <v>52.942185460558363</v>
      </c>
      <c r="AC31" s="37">
        <v>49.124279831259116</v>
      </c>
      <c r="AD31" s="37">
        <v>54.734560436791995</v>
      </c>
      <c r="AE31" s="37">
        <v>53.92097952948226</v>
      </c>
      <c r="AF31" s="37">
        <v>53.421278897354668</v>
      </c>
      <c r="AG31" s="37">
        <v>54.924513574835252</v>
      </c>
      <c r="AH31" s="37">
        <v>54.98509493489837</v>
      </c>
      <c r="AI31" s="37">
        <v>60.032683440823014</v>
      </c>
      <c r="AJ31" s="37">
        <v>67.506924696144125</v>
      </c>
      <c r="AK31" s="37">
        <v>68.406441810614155</v>
      </c>
      <c r="AL31" s="37">
        <v>72.799315206319505</v>
      </c>
      <c r="AM31" s="37">
        <v>69.854337334444438</v>
      </c>
      <c r="AN31" s="122">
        <v>1.3324812506551709E-2</v>
      </c>
      <c r="AO31" s="122">
        <v>6.4217247373678399E-2</v>
      </c>
      <c r="AP31" s="122">
        <v>-4.0453373270459281E-2</v>
      </c>
    </row>
    <row r="32" spans="1:42" s="15" customFormat="1" ht="19.5" customHeight="1" x14ac:dyDescent="0.45">
      <c r="A32" s="11" t="s">
        <v>27</v>
      </c>
      <c r="B32" s="139" t="s">
        <v>111</v>
      </c>
      <c r="C32" s="139" t="s">
        <v>111</v>
      </c>
      <c r="D32" s="139" t="s">
        <v>111</v>
      </c>
      <c r="E32" s="139" t="s">
        <v>111</v>
      </c>
      <c r="F32" s="139" t="s">
        <v>111</v>
      </c>
      <c r="G32" s="139" t="s">
        <v>111</v>
      </c>
      <c r="H32" s="139" t="s">
        <v>111</v>
      </c>
      <c r="I32" s="139" t="s">
        <v>111</v>
      </c>
      <c r="J32" s="139" t="s">
        <v>111</v>
      </c>
      <c r="K32" s="139" t="s">
        <v>111</v>
      </c>
      <c r="L32" s="139" t="s">
        <v>111</v>
      </c>
      <c r="M32" s="34">
        <v>9.2863790518861737</v>
      </c>
      <c r="N32" s="34">
        <v>9.1509635686350759</v>
      </c>
      <c r="O32" s="34">
        <v>9.4280429968640149</v>
      </c>
      <c r="P32" s="34">
        <v>11.404337190615399</v>
      </c>
      <c r="Q32" s="34">
        <v>11.558426965058596</v>
      </c>
      <c r="R32" s="34">
        <v>11.637001801614616</v>
      </c>
      <c r="S32" s="34">
        <v>11.053975818661462</v>
      </c>
      <c r="T32" s="34">
        <v>11.748041788742265</v>
      </c>
      <c r="U32" s="34">
        <v>12.681754650029067</v>
      </c>
      <c r="V32" s="34">
        <v>12.650570239691911</v>
      </c>
      <c r="W32" s="34">
        <v>12.304115874350897</v>
      </c>
      <c r="X32" s="34">
        <v>14.498413839597061</v>
      </c>
      <c r="Y32" s="34">
        <v>16.995692152623707</v>
      </c>
      <c r="Z32" s="34">
        <v>19.989128391741687</v>
      </c>
      <c r="AA32" s="34">
        <v>22.458569701470342</v>
      </c>
      <c r="AB32" s="34">
        <v>22.866736625157369</v>
      </c>
      <c r="AC32" s="35">
        <v>24.652529868988825</v>
      </c>
      <c r="AD32" s="35">
        <v>20.315665596432211</v>
      </c>
      <c r="AE32" s="35">
        <v>18.480239420791843</v>
      </c>
      <c r="AF32" s="35">
        <v>18.713534536798832</v>
      </c>
      <c r="AG32" s="35">
        <v>20.55118730917264</v>
      </c>
      <c r="AH32" s="35">
        <v>19.258580107723855</v>
      </c>
      <c r="AI32" s="35">
        <v>21.36800452320939</v>
      </c>
      <c r="AJ32" s="35">
        <v>26.32996305218332</v>
      </c>
      <c r="AK32" s="35">
        <v>26.789690002396629</v>
      </c>
      <c r="AL32" s="35">
        <v>29.273242925919877</v>
      </c>
      <c r="AM32" s="35">
        <v>22.121393023333333</v>
      </c>
      <c r="AN32" s="122">
        <v>1.7460220103696189E-2</v>
      </c>
      <c r="AO32" s="122">
        <v>9.2705549160929657E-2</v>
      </c>
      <c r="AP32" s="122">
        <v>-0.24431355011418865</v>
      </c>
    </row>
    <row r="33" spans="1:63" s="10" customFormat="1" ht="19.5" customHeight="1" thickBot="1" x14ac:dyDescent="0.5">
      <c r="A33" s="38" t="s">
        <v>28</v>
      </c>
      <c r="B33" s="143" t="s">
        <v>111</v>
      </c>
      <c r="C33" s="143" t="s">
        <v>111</v>
      </c>
      <c r="D33" s="143" t="s">
        <v>111</v>
      </c>
      <c r="E33" s="143" t="s">
        <v>111</v>
      </c>
      <c r="F33" s="143" t="s">
        <v>111</v>
      </c>
      <c r="G33" s="143" t="s">
        <v>111</v>
      </c>
      <c r="H33" s="143" t="s">
        <v>111</v>
      </c>
      <c r="I33" s="143" t="s">
        <v>111</v>
      </c>
      <c r="J33" s="143" t="s">
        <v>111</v>
      </c>
      <c r="K33" s="143" t="s">
        <v>111</v>
      </c>
      <c r="L33" s="143" t="s">
        <v>111</v>
      </c>
      <c r="M33" s="39">
        <v>134.08991024445706</v>
      </c>
      <c r="N33" s="39">
        <v>142.88124468283365</v>
      </c>
      <c r="O33" s="39">
        <v>152.08830510401145</v>
      </c>
      <c r="P33" s="39">
        <v>162.90724419390185</v>
      </c>
      <c r="Q33" s="39">
        <v>176.84224025839777</v>
      </c>
      <c r="R33" s="39">
        <v>188.30322522543383</v>
      </c>
      <c r="S33" s="39">
        <v>182.79796053420262</v>
      </c>
      <c r="T33" s="39">
        <v>214.20039119303215</v>
      </c>
      <c r="U33" s="39">
        <v>239.74940359806075</v>
      </c>
      <c r="V33" s="39">
        <v>236.56890052565834</v>
      </c>
      <c r="W33" s="39">
        <v>246.43208616946873</v>
      </c>
      <c r="X33" s="39">
        <v>260.80572512727912</v>
      </c>
      <c r="Y33" s="39">
        <v>266.00571003299029</v>
      </c>
      <c r="Z33" s="39">
        <v>296.74586000452041</v>
      </c>
      <c r="AA33" s="39">
        <v>319.85708665328764</v>
      </c>
      <c r="AB33" s="39">
        <v>326.00210773886761</v>
      </c>
      <c r="AC33" s="40">
        <v>314.55861724068097</v>
      </c>
      <c r="AD33" s="40">
        <v>318.57862591782873</v>
      </c>
      <c r="AE33" s="40">
        <v>308.40701295509666</v>
      </c>
      <c r="AF33" s="40">
        <v>337.19655320581961</v>
      </c>
      <c r="AG33" s="40">
        <v>372.84079288887204</v>
      </c>
      <c r="AH33" s="40">
        <v>385.67883656001305</v>
      </c>
      <c r="AI33" s="40">
        <v>380.24793707863535</v>
      </c>
      <c r="AJ33" s="40">
        <v>388.19412010968495</v>
      </c>
      <c r="AK33" s="40">
        <v>428.46021326744977</v>
      </c>
      <c r="AL33" s="40">
        <v>489.80139703070898</v>
      </c>
      <c r="AM33" s="40">
        <v>475.32829134070067</v>
      </c>
      <c r="AN33" s="122">
        <v>0.10372669515547428</v>
      </c>
      <c r="AO33" s="122">
        <v>0.14316658084882516</v>
      </c>
      <c r="AP33" s="122">
        <v>-2.9548926927827623E-2</v>
      </c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</row>
    <row r="34" spans="1:63" s="10" customFormat="1" ht="19.5" customHeight="1" thickTop="1" thickBot="1" x14ac:dyDescent="0.5">
      <c r="A34" s="41" t="s">
        <v>29</v>
      </c>
      <c r="B34" s="42">
        <v>293.88567928376051</v>
      </c>
      <c r="C34" s="42">
        <v>259.40393197312346</v>
      </c>
      <c r="D34" s="42">
        <v>257.97901361243356</v>
      </c>
      <c r="E34" s="42">
        <v>278.41178173277967</v>
      </c>
      <c r="F34" s="42">
        <v>268.87397682132746</v>
      </c>
      <c r="G34" s="42">
        <v>283.20846582169025</v>
      </c>
      <c r="H34" s="42">
        <v>263.85938360467969</v>
      </c>
      <c r="I34" s="42">
        <v>242.81300252989092</v>
      </c>
      <c r="J34" s="42">
        <v>293.61038975237722</v>
      </c>
      <c r="K34" s="42">
        <v>305.66264603927891</v>
      </c>
      <c r="L34" s="42">
        <v>305.55128638028975</v>
      </c>
      <c r="M34" s="42">
        <v>416.22205685390065</v>
      </c>
      <c r="N34" s="42">
        <v>456.27788252585975</v>
      </c>
      <c r="O34" s="42">
        <v>526.45140794551526</v>
      </c>
      <c r="P34" s="42">
        <v>587.80650645174342</v>
      </c>
      <c r="Q34" s="42">
        <v>598.63054224525513</v>
      </c>
      <c r="R34" s="42">
        <v>544.90620566971256</v>
      </c>
      <c r="S34" s="42">
        <v>541.5794506492573</v>
      </c>
      <c r="T34" s="42">
        <v>619.37869502289209</v>
      </c>
      <c r="U34" s="42">
        <v>704.99414231295088</v>
      </c>
      <c r="V34" s="42">
        <v>678.4897825274553</v>
      </c>
      <c r="W34" s="42">
        <v>704.75288117671789</v>
      </c>
      <c r="X34" s="42">
        <v>793.08867205413094</v>
      </c>
      <c r="Y34" s="42">
        <v>827.23366034520768</v>
      </c>
      <c r="Z34" s="42">
        <v>907.36545331215007</v>
      </c>
      <c r="AA34" s="42">
        <v>938.33280095011412</v>
      </c>
      <c r="AB34" s="42">
        <v>946.72188241414437</v>
      </c>
      <c r="AC34" s="43">
        <v>943.12754282534706</v>
      </c>
      <c r="AD34" s="43">
        <v>949.75728638903536</v>
      </c>
      <c r="AE34" s="43">
        <v>918.09018263122255</v>
      </c>
      <c r="AF34" s="43">
        <v>938.11207615480885</v>
      </c>
      <c r="AG34" s="43">
        <v>1105.3709074815174</v>
      </c>
      <c r="AH34" s="43">
        <v>1215.906717756503</v>
      </c>
      <c r="AI34" s="43">
        <v>1215.1695740210148</v>
      </c>
      <c r="AJ34" s="43">
        <v>1257.0622923466458</v>
      </c>
      <c r="AK34" s="43">
        <v>1271.2787899194614</v>
      </c>
      <c r="AL34" s="43">
        <v>1422.1431295458463</v>
      </c>
      <c r="AM34" s="43">
        <v>1370.6396625359575</v>
      </c>
      <c r="AN34" s="122">
        <v>1.1309302378545327E-2</v>
      </c>
      <c r="AO34" s="122">
        <v>0.11867132592996588</v>
      </c>
      <c r="AP34" s="122">
        <v>-3.6215389252934105E-2</v>
      </c>
    </row>
    <row r="35" spans="1:63" ht="18" customHeight="1" thickTop="1" x14ac:dyDescent="0.45">
      <c r="A35" s="148" t="s">
        <v>129</v>
      </c>
      <c r="B35" s="148"/>
      <c r="C35" s="148"/>
      <c r="D35" s="148"/>
      <c r="E35" s="148"/>
      <c r="F35" s="148"/>
      <c r="G35" s="148"/>
      <c r="H35" s="148"/>
      <c r="I35" s="148"/>
      <c r="J35" s="148"/>
      <c r="K35" s="148"/>
      <c r="L35" s="148"/>
      <c r="M35" s="148"/>
      <c r="N35" s="148"/>
      <c r="O35" s="148"/>
      <c r="P35" s="148"/>
      <c r="Q35" s="148"/>
      <c r="R35" s="148"/>
      <c r="S35" s="148"/>
      <c r="T35" s="148"/>
      <c r="U35" s="148"/>
      <c r="V35" s="148"/>
      <c r="W35" s="148"/>
      <c r="X35" s="148"/>
      <c r="Y35" s="148"/>
      <c r="Z35" s="148"/>
      <c r="AA35" s="148"/>
      <c r="AB35" s="148"/>
      <c r="AC35" s="148"/>
      <c r="AD35" s="148"/>
      <c r="AE35" s="148"/>
      <c r="AF35" s="148"/>
      <c r="AG35" s="148"/>
      <c r="AH35" s="148"/>
      <c r="AI35" s="148"/>
      <c r="AJ35" s="148"/>
      <c r="AK35" s="148"/>
      <c r="AL35" s="148"/>
      <c r="AM35" s="148"/>
    </row>
    <row r="36" spans="1:63" ht="17.25" customHeight="1" x14ac:dyDescent="0.45">
      <c r="A36" s="144" t="s">
        <v>132</v>
      </c>
      <c r="B36" s="144"/>
      <c r="C36" s="144"/>
      <c r="D36" s="144"/>
      <c r="E36" s="144"/>
      <c r="F36" s="144"/>
      <c r="G36" s="144"/>
      <c r="H36" s="144"/>
      <c r="I36" s="144"/>
      <c r="J36" s="144"/>
      <c r="K36" s="144"/>
      <c r="L36" s="144"/>
      <c r="M36" s="144"/>
      <c r="N36" s="144"/>
      <c r="O36" s="144"/>
      <c r="P36" s="144"/>
      <c r="Q36" s="144"/>
      <c r="R36" s="144"/>
      <c r="S36" s="144"/>
      <c r="T36" s="144"/>
      <c r="U36" s="144"/>
      <c r="V36" s="144"/>
      <c r="W36" s="144"/>
      <c r="X36" s="144"/>
      <c r="Y36" s="144"/>
      <c r="Z36" s="144"/>
      <c r="AA36" s="144"/>
      <c r="AB36" s="144"/>
      <c r="AC36" s="144"/>
      <c r="AD36" s="144"/>
      <c r="AE36" s="144"/>
      <c r="AF36" s="144"/>
      <c r="AG36" s="144"/>
      <c r="AH36" s="144"/>
      <c r="AI36" s="144"/>
      <c r="AJ36" s="144"/>
      <c r="AK36" s="144"/>
      <c r="AL36" s="144"/>
      <c r="AM36" s="144"/>
    </row>
    <row r="37" spans="1:63" ht="31.5" customHeight="1" x14ac:dyDescent="0.45">
      <c r="A37" s="144" t="s">
        <v>114</v>
      </c>
      <c r="B37" s="144"/>
      <c r="C37" s="144"/>
      <c r="D37" s="144"/>
      <c r="E37" s="144"/>
      <c r="F37" s="144"/>
      <c r="G37" s="144"/>
      <c r="H37" s="144"/>
      <c r="I37" s="144"/>
      <c r="J37" s="144"/>
      <c r="K37" s="144"/>
      <c r="L37" s="144"/>
      <c r="M37" s="144"/>
      <c r="N37" s="144"/>
      <c r="O37" s="144"/>
      <c r="P37" s="144"/>
      <c r="Q37" s="144"/>
      <c r="R37" s="144"/>
      <c r="S37" s="144"/>
      <c r="T37" s="144"/>
      <c r="U37" s="144"/>
      <c r="V37" s="144"/>
      <c r="W37" s="144"/>
      <c r="X37" s="144"/>
      <c r="Y37" s="144"/>
      <c r="Z37" s="144"/>
      <c r="AA37" s="144"/>
      <c r="AB37" s="144"/>
      <c r="AC37" s="144"/>
      <c r="AD37" s="144"/>
      <c r="AE37" s="144"/>
      <c r="AF37" s="144"/>
      <c r="AG37" s="144"/>
      <c r="AH37" s="144"/>
      <c r="AI37" s="144"/>
      <c r="AJ37" s="144"/>
      <c r="AK37" s="144"/>
      <c r="AL37" s="144"/>
      <c r="AM37" s="144"/>
    </row>
    <row r="38" spans="1:63" ht="33" customHeight="1" x14ac:dyDescent="0.45">
      <c r="A38" s="144" t="s">
        <v>30</v>
      </c>
      <c r="B38" s="144"/>
      <c r="C38" s="144"/>
      <c r="D38" s="144"/>
      <c r="E38" s="144"/>
      <c r="F38" s="144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4"/>
      <c r="U38" s="144"/>
      <c r="V38" s="144"/>
      <c r="W38" s="144"/>
      <c r="X38" s="144"/>
      <c r="Y38" s="144"/>
      <c r="Z38" s="144"/>
      <c r="AA38" s="144"/>
      <c r="AB38" s="144"/>
      <c r="AC38" s="144"/>
      <c r="AD38" s="144"/>
      <c r="AE38" s="144"/>
      <c r="AF38" s="144"/>
      <c r="AG38" s="144"/>
      <c r="AH38" s="144"/>
      <c r="AI38" s="144"/>
      <c r="AJ38" s="144"/>
      <c r="AK38" s="144"/>
      <c r="AL38" s="144"/>
      <c r="AM38" s="144"/>
    </row>
    <row r="39" spans="1:63" x14ac:dyDescent="0.45">
      <c r="A39" s="144" t="s">
        <v>31</v>
      </c>
      <c r="B39" s="144"/>
      <c r="C39" s="144"/>
      <c r="D39" s="144"/>
      <c r="E39" s="144"/>
      <c r="F39" s="144"/>
      <c r="G39" s="144"/>
      <c r="H39" s="144"/>
      <c r="I39" s="144"/>
      <c r="J39" s="144"/>
      <c r="K39" s="144"/>
      <c r="L39" s="144"/>
      <c r="M39" s="144"/>
      <c r="N39" s="144"/>
      <c r="O39" s="144"/>
      <c r="P39" s="144"/>
      <c r="Q39" s="144"/>
      <c r="R39" s="144"/>
      <c r="S39" s="144"/>
      <c r="T39" s="144"/>
      <c r="U39" s="144"/>
      <c r="V39" s="144"/>
      <c r="W39" s="144"/>
      <c r="X39" s="144"/>
      <c r="Y39" s="144"/>
      <c r="Z39" s="144"/>
      <c r="AA39" s="144"/>
      <c r="AB39" s="144"/>
      <c r="AC39" s="144"/>
      <c r="AD39" s="144"/>
      <c r="AE39" s="144"/>
      <c r="AF39" s="144"/>
      <c r="AG39" s="144"/>
      <c r="AH39" s="144"/>
      <c r="AI39" s="144"/>
      <c r="AJ39" s="144"/>
      <c r="AK39" s="144"/>
      <c r="AL39" s="144"/>
      <c r="AM39" s="144"/>
    </row>
    <row r="40" spans="1:63" x14ac:dyDescent="0.45">
      <c r="A40" s="150" t="s">
        <v>32</v>
      </c>
      <c r="B40" s="150"/>
      <c r="C40" s="150"/>
      <c r="D40" s="150"/>
      <c r="E40" s="150"/>
      <c r="F40" s="150"/>
      <c r="G40" s="150"/>
      <c r="H40" s="150"/>
      <c r="I40" s="150"/>
      <c r="J40" s="150"/>
      <c r="K40" s="150"/>
      <c r="L40" s="150"/>
      <c r="M40" s="150"/>
      <c r="N40" s="150"/>
      <c r="O40" s="150"/>
      <c r="P40" s="150"/>
      <c r="Q40" s="150"/>
      <c r="R40" s="150"/>
      <c r="S40" s="150"/>
      <c r="T40" s="150"/>
      <c r="U40" s="150"/>
      <c r="V40" s="150"/>
      <c r="W40" s="150"/>
      <c r="X40" s="150"/>
      <c r="Y40" s="150"/>
      <c r="Z40" s="150"/>
      <c r="AA40" s="150"/>
      <c r="AB40" s="150"/>
      <c r="AC40" s="150"/>
      <c r="AD40" s="150"/>
      <c r="AE40" s="150"/>
      <c r="AF40" s="150"/>
      <c r="AG40" s="150"/>
      <c r="AH40" s="150"/>
      <c r="AI40" s="150"/>
      <c r="AJ40" s="150"/>
      <c r="AK40" s="150"/>
      <c r="AL40" s="150"/>
      <c r="AM40" s="150"/>
    </row>
    <row r="41" spans="1:63" x14ac:dyDescent="0.45">
      <c r="A41" s="144" t="s">
        <v>130</v>
      </c>
      <c r="B41" s="144"/>
      <c r="C41" s="144"/>
      <c r="D41" s="144"/>
      <c r="E41" s="144"/>
      <c r="F41" s="144"/>
      <c r="G41" s="144"/>
      <c r="H41" s="144"/>
      <c r="I41" s="144"/>
      <c r="J41" s="144"/>
      <c r="K41" s="144"/>
      <c r="L41" s="144"/>
      <c r="M41" s="144"/>
      <c r="N41" s="144"/>
      <c r="O41" s="144"/>
      <c r="P41" s="144"/>
      <c r="Q41" s="144"/>
      <c r="R41" s="144"/>
      <c r="S41" s="144"/>
      <c r="T41" s="144"/>
      <c r="U41" s="144"/>
      <c r="V41" s="144"/>
      <c r="W41" s="144"/>
      <c r="X41" s="144"/>
      <c r="Y41" s="144"/>
      <c r="Z41" s="144"/>
      <c r="AA41" s="144"/>
      <c r="AB41" s="144"/>
      <c r="AC41" s="144"/>
      <c r="AD41" s="144"/>
      <c r="AE41" s="144"/>
      <c r="AF41" s="144"/>
      <c r="AG41" s="144"/>
      <c r="AH41" s="144"/>
      <c r="AI41" s="144"/>
      <c r="AJ41" s="144"/>
      <c r="AK41" s="144"/>
      <c r="AL41" s="144"/>
      <c r="AM41" s="144"/>
    </row>
    <row r="42" spans="1:63" x14ac:dyDescent="0.45">
      <c r="A42" s="144" t="s">
        <v>133</v>
      </c>
      <c r="B42" s="144"/>
      <c r="C42" s="144"/>
      <c r="D42" s="144"/>
      <c r="E42" s="144"/>
      <c r="F42" s="144"/>
      <c r="G42" s="144"/>
      <c r="H42" s="144"/>
      <c r="I42" s="144"/>
      <c r="J42" s="144"/>
      <c r="K42" s="144"/>
      <c r="L42" s="144"/>
      <c r="M42" s="144"/>
      <c r="N42" s="144"/>
      <c r="O42" s="144"/>
      <c r="P42" s="144"/>
      <c r="Q42" s="144"/>
      <c r="R42" s="144"/>
      <c r="S42" s="144"/>
      <c r="T42" s="144"/>
      <c r="U42" s="144"/>
      <c r="V42" s="144"/>
      <c r="W42" s="144"/>
      <c r="X42" s="144"/>
      <c r="Y42" s="144"/>
      <c r="Z42" s="144"/>
      <c r="AA42" s="144"/>
      <c r="AB42" s="144"/>
      <c r="AC42" s="144"/>
      <c r="AD42" s="144"/>
      <c r="AE42" s="144"/>
      <c r="AF42" s="144"/>
      <c r="AG42" s="144"/>
      <c r="AH42" s="144"/>
      <c r="AI42" s="144"/>
      <c r="AJ42" s="144"/>
      <c r="AK42" s="144"/>
      <c r="AL42" s="144"/>
      <c r="AM42" s="144"/>
    </row>
    <row r="43" spans="1:63" x14ac:dyDescent="0.45">
      <c r="A43" s="144" t="s">
        <v>33</v>
      </c>
      <c r="B43" s="144"/>
      <c r="C43" s="144"/>
      <c r="D43" s="144"/>
      <c r="E43" s="144"/>
      <c r="F43" s="144"/>
      <c r="G43" s="144"/>
      <c r="H43" s="144"/>
      <c r="I43" s="144"/>
      <c r="J43" s="144"/>
      <c r="K43" s="144"/>
      <c r="L43" s="144"/>
      <c r="M43" s="144"/>
      <c r="N43" s="144"/>
      <c r="O43" s="144"/>
      <c r="P43" s="144"/>
      <c r="Q43" s="144"/>
      <c r="R43" s="144"/>
      <c r="S43" s="144"/>
      <c r="T43" s="144"/>
      <c r="U43" s="144"/>
      <c r="V43" s="144"/>
      <c r="W43" s="144"/>
      <c r="X43" s="144"/>
      <c r="Y43" s="144"/>
      <c r="Z43" s="144"/>
      <c r="AA43" s="144"/>
      <c r="AB43" s="144"/>
      <c r="AC43" s="144"/>
      <c r="AD43" s="144"/>
      <c r="AE43" s="144"/>
      <c r="AF43" s="144"/>
      <c r="AG43" s="144"/>
      <c r="AH43" s="144"/>
      <c r="AI43" s="144"/>
      <c r="AJ43" s="144"/>
      <c r="AK43" s="144"/>
      <c r="AL43" s="144"/>
      <c r="AM43" s="144"/>
    </row>
    <row r="44" spans="1:63" x14ac:dyDescent="0.45">
      <c r="A44" s="144" t="s">
        <v>34</v>
      </c>
      <c r="B44" s="144"/>
      <c r="C44" s="144"/>
      <c r="D44" s="144"/>
      <c r="E44" s="144"/>
      <c r="F44" s="144"/>
      <c r="G44" s="144"/>
      <c r="H44" s="144"/>
      <c r="I44" s="144"/>
      <c r="J44" s="144"/>
      <c r="K44" s="144"/>
      <c r="L44" s="144"/>
      <c r="M44" s="144"/>
      <c r="N44" s="144"/>
      <c r="O44" s="144"/>
      <c r="P44" s="144"/>
      <c r="Q44" s="144"/>
      <c r="R44" s="144"/>
      <c r="S44" s="144"/>
      <c r="T44" s="144"/>
      <c r="U44" s="144"/>
      <c r="V44" s="144"/>
      <c r="W44" s="144"/>
      <c r="X44" s="144"/>
      <c r="Y44" s="144"/>
      <c r="Z44" s="144"/>
      <c r="AA44" s="144"/>
      <c r="AB44" s="144"/>
      <c r="AC44" s="144"/>
      <c r="AD44" s="144"/>
      <c r="AE44" s="144"/>
      <c r="AF44" s="144"/>
      <c r="AG44" s="144"/>
      <c r="AH44" s="144"/>
      <c r="AI44" s="144"/>
      <c r="AJ44" s="144"/>
      <c r="AK44" s="144"/>
      <c r="AL44" s="144"/>
      <c r="AM44" s="144"/>
    </row>
    <row r="45" spans="1:63" x14ac:dyDescent="0.45">
      <c r="A45" s="144" t="s">
        <v>115</v>
      </c>
      <c r="B45" s="144"/>
      <c r="C45" s="144"/>
      <c r="D45" s="144"/>
      <c r="E45" s="144"/>
      <c r="F45" s="144"/>
      <c r="G45" s="144"/>
      <c r="H45" s="144"/>
      <c r="I45" s="144"/>
      <c r="J45" s="144"/>
      <c r="K45" s="144"/>
      <c r="L45" s="144"/>
      <c r="M45" s="144"/>
      <c r="N45" s="144"/>
      <c r="O45" s="144"/>
      <c r="P45" s="144"/>
      <c r="Q45" s="144"/>
      <c r="R45" s="144"/>
      <c r="S45" s="144"/>
      <c r="T45" s="144"/>
      <c r="U45" s="144"/>
      <c r="V45" s="144"/>
      <c r="W45" s="144"/>
      <c r="X45" s="144"/>
      <c r="Y45" s="144"/>
      <c r="Z45" s="144"/>
      <c r="AA45" s="144"/>
      <c r="AB45" s="144"/>
      <c r="AC45" s="144"/>
      <c r="AD45" s="144"/>
      <c r="AE45" s="144"/>
      <c r="AF45" s="144"/>
      <c r="AG45" s="144"/>
      <c r="AH45" s="144"/>
      <c r="AI45" s="144"/>
      <c r="AJ45" s="144"/>
      <c r="AK45" s="144"/>
      <c r="AL45" s="144"/>
      <c r="AM45" s="144"/>
    </row>
    <row r="46" spans="1:63" x14ac:dyDescent="0.45">
      <c r="A46" s="144" t="s">
        <v>118</v>
      </c>
      <c r="B46" s="144"/>
      <c r="C46" s="144"/>
      <c r="D46" s="144"/>
      <c r="E46" s="144"/>
      <c r="F46" s="144"/>
      <c r="G46" s="144"/>
      <c r="H46" s="144"/>
      <c r="I46" s="144"/>
      <c r="J46" s="144"/>
      <c r="K46" s="144"/>
      <c r="L46" s="144"/>
      <c r="M46" s="144"/>
      <c r="N46" s="144"/>
      <c r="O46" s="144"/>
      <c r="P46" s="144"/>
      <c r="Q46" s="144"/>
      <c r="R46" s="144"/>
      <c r="S46" s="144"/>
      <c r="T46" s="144"/>
      <c r="U46" s="144"/>
      <c r="V46" s="144"/>
      <c r="W46" s="144"/>
      <c r="X46" s="144"/>
      <c r="Y46" s="144"/>
      <c r="Z46" s="144"/>
      <c r="AA46" s="144"/>
      <c r="AB46" s="144"/>
      <c r="AC46" s="144"/>
      <c r="AD46" s="144"/>
      <c r="AE46" s="144"/>
      <c r="AF46" s="144"/>
      <c r="AG46" s="144"/>
      <c r="AH46" s="144"/>
      <c r="AI46" s="144"/>
      <c r="AJ46" s="144"/>
      <c r="AK46" s="144"/>
      <c r="AL46" s="144"/>
      <c r="AM46" s="144"/>
    </row>
  </sheetData>
  <mergeCells count="13">
    <mergeCell ref="A46:AM46"/>
    <mergeCell ref="A45:AM45"/>
    <mergeCell ref="A44:AM44"/>
    <mergeCell ref="A43:AM43"/>
    <mergeCell ref="A42:AM42"/>
    <mergeCell ref="A36:AM36"/>
    <mergeCell ref="A35:AM35"/>
    <mergeCell ref="A2:AI2"/>
    <mergeCell ref="A41:AM41"/>
    <mergeCell ref="A40:AM40"/>
    <mergeCell ref="A39:AM39"/>
    <mergeCell ref="A38:AM38"/>
    <mergeCell ref="A37:AM37"/>
  </mergeCells>
  <phoneticPr fontId="3" type="noConversion"/>
  <pageMargins left="0.51181102362204722" right="0.51181102362204722" top="0.78740157480314965" bottom="0.78740157480314965" header="0.31496062992125984" footer="0.31496062992125984"/>
  <pageSetup paperSize="9" scale="71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44"/>
  <sheetViews>
    <sheetView showGridLines="0" zoomScale="80" zoomScaleNormal="80" workbookViewId="0">
      <selection activeCell="A4" sqref="A4"/>
    </sheetView>
  </sheetViews>
  <sheetFormatPr defaultColWidth="8.88671875" defaultRowHeight="19.2" x14ac:dyDescent="0.45"/>
  <cols>
    <col min="1" max="1" width="17.33203125" style="3" customWidth="1"/>
    <col min="2" max="2" width="17.88671875" style="3" bestFit="1" customWidth="1"/>
    <col min="3" max="3" width="10.5546875" style="3" bestFit="1" customWidth="1"/>
    <col min="4" max="16384" width="8.88671875" style="3"/>
  </cols>
  <sheetData>
    <row r="1" spans="1:13" ht="18" customHeight="1" x14ac:dyDescent="0.45">
      <c r="A1" s="123" t="s">
        <v>78</v>
      </c>
      <c r="B1" s="123"/>
      <c r="C1" s="123"/>
      <c r="D1" s="124"/>
      <c r="E1" s="124"/>
      <c r="F1" s="124"/>
      <c r="G1" s="124"/>
      <c r="H1" s="124"/>
      <c r="I1" s="124"/>
      <c r="J1" s="124"/>
      <c r="K1" s="124"/>
      <c r="L1" s="124"/>
      <c r="M1" s="15"/>
    </row>
    <row r="2" spans="1:13" ht="18" customHeight="1" x14ac:dyDescent="0.45">
      <c r="A2" s="123" t="s">
        <v>79</v>
      </c>
      <c r="B2" s="123"/>
      <c r="C2" s="123"/>
      <c r="D2" s="124"/>
      <c r="E2" s="124"/>
      <c r="F2" s="124"/>
      <c r="G2" s="124"/>
      <c r="H2" s="124"/>
      <c r="I2" s="124"/>
      <c r="J2" s="124"/>
      <c r="K2" s="124"/>
      <c r="L2" s="124"/>
      <c r="M2" s="15"/>
    </row>
    <row r="3" spans="1:13" x14ac:dyDescent="0.45">
      <c r="A3" s="109"/>
    </row>
    <row r="4" spans="1:13" ht="39" thickBot="1" x14ac:dyDescent="0.5">
      <c r="A4" s="110" t="s">
        <v>80</v>
      </c>
      <c r="B4" s="111" t="s">
        <v>81</v>
      </c>
      <c r="C4" s="112" t="s">
        <v>82</v>
      </c>
    </row>
    <row r="5" spans="1:13" ht="16.5" customHeight="1" thickTop="1" x14ac:dyDescent="0.45">
      <c r="A5" s="113">
        <v>1990</v>
      </c>
      <c r="B5" s="114">
        <v>100</v>
      </c>
      <c r="C5" s="115" t="s">
        <v>111</v>
      </c>
    </row>
    <row r="6" spans="1:13" ht="16.5" customHeight="1" x14ac:dyDescent="0.45">
      <c r="A6" s="116">
        <v>1991</v>
      </c>
      <c r="B6" s="117">
        <v>100.27530507723812</v>
      </c>
      <c r="C6" s="118">
        <v>0.27530507723811581</v>
      </c>
    </row>
    <row r="7" spans="1:13" ht="16.5" customHeight="1" x14ac:dyDescent="0.45">
      <c r="A7" s="119">
        <v>1992</v>
      </c>
      <c r="B7" s="114">
        <v>106.20337614689583</v>
      </c>
      <c r="C7" s="120">
        <v>5.911795596225371</v>
      </c>
    </row>
    <row r="8" spans="1:13" ht="16.5" customHeight="1" x14ac:dyDescent="0.45">
      <c r="A8" s="116">
        <v>1993</v>
      </c>
      <c r="B8" s="117">
        <v>104.57013107177708</v>
      </c>
      <c r="C8" s="118">
        <v>-1.5378466621058433</v>
      </c>
    </row>
    <row r="9" spans="1:13" ht="16.5" customHeight="1" x14ac:dyDescent="0.45">
      <c r="A9" s="119">
        <v>1994</v>
      </c>
      <c r="B9" s="114">
        <v>114.16378114998278</v>
      </c>
      <c r="C9" s="120">
        <v>9.1743693728571518</v>
      </c>
    </row>
    <row r="10" spans="1:13" ht="16.5" customHeight="1" x14ac:dyDescent="0.45">
      <c r="A10" s="116">
        <v>1995</v>
      </c>
      <c r="B10" s="117">
        <v>115.0243365219558</v>
      </c>
      <c r="C10" s="118">
        <v>0.75379018047980173</v>
      </c>
    </row>
    <row r="11" spans="1:13" ht="16.5" customHeight="1" x14ac:dyDescent="0.45">
      <c r="A11" s="119">
        <v>1996</v>
      </c>
      <c r="B11" s="114">
        <v>106.55186735424465</v>
      </c>
      <c r="C11" s="120">
        <v>-7.3658057276374134</v>
      </c>
    </row>
    <row r="12" spans="1:13" ht="16.5" customHeight="1" x14ac:dyDescent="0.45">
      <c r="A12" s="116">
        <v>1997</v>
      </c>
      <c r="B12" s="117">
        <v>114.03726174297621</v>
      </c>
      <c r="C12" s="118">
        <v>7.0251179773747747</v>
      </c>
    </row>
    <row r="13" spans="1:13" ht="16.5" customHeight="1" x14ac:dyDescent="0.45">
      <c r="A13" s="119">
        <v>1998</v>
      </c>
      <c r="B13" s="114">
        <v>117.31915303619954</v>
      </c>
      <c r="C13" s="120">
        <v>2.8779113449954994</v>
      </c>
    </row>
    <row r="14" spans="1:13" ht="16.5" customHeight="1" x14ac:dyDescent="0.45">
      <c r="A14" s="116">
        <v>1999</v>
      </c>
      <c r="B14" s="117">
        <v>124.73428473228039</v>
      </c>
      <c r="C14" s="118">
        <v>6.3204783738873953</v>
      </c>
    </row>
    <row r="15" spans="1:13" ht="16.5" customHeight="1" x14ac:dyDescent="0.45">
      <c r="A15" s="119">
        <v>2000</v>
      </c>
      <c r="B15" s="114">
        <v>128.2930427050309</v>
      </c>
      <c r="C15" s="120">
        <v>2.8530712148538346</v>
      </c>
    </row>
    <row r="16" spans="1:13" ht="16.5" customHeight="1" x14ac:dyDescent="0.45">
      <c r="A16" s="116">
        <v>2001</v>
      </c>
      <c r="B16" s="117">
        <v>136.97467822597082</v>
      </c>
      <c r="C16" s="118">
        <v>6.7670353262262122</v>
      </c>
    </row>
    <row r="17" spans="1:3" ht="16.5" customHeight="1" x14ac:dyDescent="0.45">
      <c r="A17" s="119">
        <v>2002</v>
      </c>
      <c r="B17" s="114">
        <v>139.51013982605832</v>
      </c>
      <c r="C17" s="120">
        <v>1.8510440272067528</v>
      </c>
    </row>
    <row r="18" spans="1:3" ht="16.5" customHeight="1" x14ac:dyDescent="0.45">
      <c r="A18" s="116">
        <v>2003</v>
      </c>
      <c r="B18" s="117">
        <v>153.86772745036896</v>
      </c>
      <c r="C18" s="118">
        <v>10.291429456103854</v>
      </c>
    </row>
    <row r="19" spans="1:3" ht="16.5" customHeight="1" x14ac:dyDescent="0.45">
      <c r="A19" s="119">
        <v>2004</v>
      </c>
      <c r="B19" s="114">
        <v>159.64137908018984</v>
      </c>
      <c r="C19" s="120">
        <v>3.7523473736123156</v>
      </c>
    </row>
    <row r="20" spans="1:3" ht="16.5" customHeight="1" x14ac:dyDescent="0.45">
      <c r="A20" s="116">
        <v>2005</v>
      </c>
      <c r="B20" s="117">
        <v>157.13592812127436</v>
      </c>
      <c r="C20" s="118">
        <v>-1.5694245272442526</v>
      </c>
    </row>
    <row r="21" spans="1:3" ht="16.5" customHeight="1" x14ac:dyDescent="0.45">
      <c r="A21" s="119">
        <v>2006</v>
      </c>
      <c r="B21" s="114">
        <v>164.85795860548876</v>
      </c>
      <c r="C21" s="120">
        <v>4.9142360862594661</v>
      </c>
    </row>
    <row r="22" spans="1:3" ht="16.5" customHeight="1" x14ac:dyDescent="0.45">
      <c r="A22" s="116">
        <v>2007</v>
      </c>
      <c r="B22" s="117">
        <v>180.78064006776765</v>
      </c>
      <c r="C22" s="118">
        <v>9.6584244988635692</v>
      </c>
    </row>
    <row r="23" spans="1:3" ht="16.5" customHeight="1" x14ac:dyDescent="0.45">
      <c r="A23" s="119">
        <v>2008</v>
      </c>
      <c r="B23" s="114">
        <v>196.90957977720942</v>
      </c>
      <c r="C23" s="120">
        <v>8.9218290760535268</v>
      </c>
    </row>
    <row r="24" spans="1:3" ht="16.5" customHeight="1" x14ac:dyDescent="0.45">
      <c r="A24" s="116">
        <v>2009</v>
      </c>
      <c r="B24" s="117">
        <v>190.30947676981953</v>
      </c>
      <c r="C24" s="118">
        <v>-3.3518445445150431</v>
      </c>
    </row>
    <row r="25" spans="1:3" ht="16.5" customHeight="1" x14ac:dyDescent="0.45">
      <c r="A25" s="119">
        <v>2010</v>
      </c>
      <c r="B25" s="114">
        <v>203.58132140625628</v>
      </c>
      <c r="C25" s="120">
        <v>6.9738222508430994</v>
      </c>
    </row>
    <row r="26" spans="1:3" ht="16.5" customHeight="1" x14ac:dyDescent="0.45">
      <c r="A26" s="116">
        <v>2011</v>
      </c>
      <c r="B26" s="117">
        <v>217.04060018402259</v>
      </c>
      <c r="C26" s="118">
        <v>6.6112542569205939</v>
      </c>
    </row>
    <row r="27" spans="1:3" ht="16.5" customHeight="1" x14ac:dyDescent="0.45">
      <c r="A27" s="119">
        <v>2012</v>
      </c>
      <c r="B27" s="114">
        <v>210.93205316011404</v>
      </c>
      <c r="C27" s="120">
        <v>-2.8144720475013858</v>
      </c>
    </row>
    <row r="28" spans="1:3" ht="16.5" customHeight="1" x14ac:dyDescent="0.45">
      <c r="A28" s="116">
        <v>2013</v>
      </c>
      <c r="B28" s="117">
        <v>228.00911847668428</v>
      </c>
      <c r="C28" s="118">
        <v>8.0960029832959552</v>
      </c>
    </row>
    <row r="29" spans="1:3" ht="16.5" customHeight="1" x14ac:dyDescent="0.45">
      <c r="A29" s="119">
        <v>2014</v>
      </c>
      <c r="B29" s="114">
        <v>232.56171197227314</v>
      </c>
      <c r="C29" s="120">
        <v>1.9966716796260078</v>
      </c>
    </row>
    <row r="30" spans="1:3" ht="16.5" customHeight="1" x14ac:dyDescent="0.45">
      <c r="A30" s="116">
        <v>2015</v>
      </c>
      <c r="B30" s="117">
        <v>242.31800918291268</v>
      </c>
      <c r="C30" s="118">
        <v>4.1951433569609735</v>
      </c>
    </row>
    <row r="31" spans="1:3" ht="16.5" customHeight="1" x14ac:dyDescent="0.45">
      <c r="A31" s="119">
        <v>2016</v>
      </c>
      <c r="B31" s="114">
        <v>228.23864268484809</v>
      </c>
      <c r="C31" s="120">
        <v>-5.8102848176822217</v>
      </c>
    </row>
    <row r="32" spans="1:3" ht="16.5" customHeight="1" x14ac:dyDescent="0.45">
      <c r="A32" s="116">
        <v>2017</v>
      </c>
      <c r="B32" s="117">
        <v>253.8258521235316</v>
      </c>
      <c r="C32" s="118">
        <v>11.210726254630918</v>
      </c>
    </row>
    <row r="33" spans="1:12" ht="16.5" customHeight="1" x14ac:dyDescent="0.45">
      <c r="A33" s="119">
        <v>2018</v>
      </c>
      <c r="B33" s="114">
        <v>245.13449547955108</v>
      </c>
      <c r="C33" s="120">
        <v>-3.4241416196450429</v>
      </c>
    </row>
    <row r="34" spans="1:12" ht="16.5" customHeight="1" x14ac:dyDescent="0.45">
      <c r="A34" s="116">
        <v>2019</v>
      </c>
      <c r="B34" s="117">
        <v>248.61895382494558</v>
      </c>
      <c r="C34" s="118">
        <v>1.421447576595833</v>
      </c>
    </row>
    <row r="35" spans="1:12" ht="16.5" customHeight="1" x14ac:dyDescent="0.45">
      <c r="A35" s="119">
        <v>2020</v>
      </c>
      <c r="B35" s="114">
        <v>258.84777688038417</v>
      </c>
      <c r="C35" s="120">
        <v>4.1142571385127722</v>
      </c>
    </row>
    <row r="36" spans="1:12" ht="16.5" customHeight="1" x14ac:dyDescent="0.45">
      <c r="A36" s="116">
        <v>2021</v>
      </c>
      <c r="B36" s="117">
        <v>254.98782385273259</v>
      </c>
      <c r="C36" s="118">
        <v>-1.4912057867258806</v>
      </c>
    </row>
    <row r="37" spans="1:12" ht="16.5" customHeight="1" x14ac:dyDescent="0.45">
      <c r="A37" s="119">
        <v>2022</v>
      </c>
      <c r="B37" s="114">
        <v>256.90396455429726</v>
      </c>
      <c r="C37" s="120">
        <v>0.75146360818833946</v>
      </c>
    </row>
    <row r="38" spans="1:12" ht="16.5" customHeight="1" x14ac:dyDescent="0.45">
      <c r="A38" s="116">
        <v>2023</v>
      </c>
      <c r="B38" s="117">
        <v>298.26925574804238</v>
      </c>
      <c r="C38" s="118">
        <v>16.101460818446213</v>
      </c>
    </row>
    <row r="39" spans="1:12" ht="16.5" customHeight="1" x14ac:dyDescent="0.45">
      <c r="A39" s="129">
        <v>2024</v>
      </c>
      <c r="B39" s="114">
        <v>285.79880772041628</v>
      </c>
      <c r="C39" s="120">
        <v>-4.1809364482943199</v>
      </c>
    </row>
    <row r="40" spans="1:12" ht="16.5" customHeight="1" x14ac:dyDescent="0.45">
      <c r="A40" s="116">
        <v>2025</v>
      </c>
      <c r="B40" s="117">
        <v>320.77718187152925</v>
      </c>
      <c r="C40" s="118">
        <v>12.238810382068037</v>
      </c>
    </row>
    <row r="41" spans="1:12" ht="16.5" customHeight="1" x14ac:dyDescent="0.45">
      <c r="A41" s="130">
        <v>2026</v>
      </c>
      <c r="B41" s="131">
        <v>320.92003379051766</v>
      </c>
      <c r="C41" s="132">
        <v>4.4533067519005994E-2</v>
      </c>
    </row>
    <row r="42" spans="1:12" x14ac:dyDescent="0.45">
      <c r="A42" s="151" t="s">
        <v>119</v>
      </c>
      <c r="B42" s="151"/>
      <c r="C42" s="151"/>
      <c r="D42" s="151"/>
      <c r="E42" s="151"/>
      <c r="F42" s="151"/>
      <c r="G42" s="151"/>
      <c r="H42" s="151"/>
      <c r="I42" s="151"/>
      <c r="J42" s="151"/>
      <c r="K42" s="151"/>
      <c r="L42" s="151"/>
    </row>
    <row r="43" spans="1:12" x14ac:dyDescent="0.45">
      <c r="A43" s="151" t="s">
        <v>131</v>
      </c>
      <c r="B43" s="151"/>
      <c r="C43" s="151"/>
      <c r="D43" s="151"/>
      <c r="E43" s="151"/>
      <c r="F43" s="151"/>
      <c r="G43" s="151"/>
      <c r="H43" s="151"/>
      <c r="I43" s="151"/>
      <c r="J43" s="151"/>
      <c r="K43" s="151"/>
      <c r="L43" s="151"/>
    </row>
    <row r="44" spans="1:12" x14ac:dyDescent="0.45">
      <c r="A44" s="151" t="s">
        <v>83</v>
      </c>
      <c r="B44" s="151"/>
      <c r="C44" s="151"/>
      <c r="D44" s="151"/>
      <c r="E44" s="151"/>
      <c r="F44" s="151"/>
      <c r="G44" s="151"/>
      <c r="H44" s="151"/>
      <c r="I44" s="151"/>
      <c r="J44" s="151"/>
      <c r="K44" s="151"/>
      <c r="L44" s="151"/>
    </row>
  </sheetData>
  <mergeCells count="3">
    <mergeCell ref="A44:L44"/>
    <mergeCell ref="A43:L43"/>
    <mergeCell ref="A42:L42"/>
  </mergeCells>
  <printOptions horizontalCentered="1"/>
  <pageMargins left="0.39370078740157483" right="0.39370078740157483" top="0.78740157480314965" bottom="0.78740157480314965" header="0.31496062992125984" footer="0.31496062992125984"/>
  <pageSetup paperSize="9" scale="88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V34"/>
  <sheetViews>
    <sheetView showGridLines="0" topLeftCell="A14" zoomScale="80" zoomScaleNormal="80" workbookViewId="0">
      <selection activeCell="A3" sqref="A3"/>
    </sheetView>
  </sheetViews>
  <sheetFormatPr defaultColWidth="9.109375" defaultRowHeight="17.399999999999999" customHeight="1" x14ac:dyDescent="0.45"/>
  <cols>
    <col min="1" max="1" width="27.33203125" style="3" customWidth="1"/>
    <col min="2" max="7" width="20.5546875" style="3" bestFit="1" customWidth="1"/>
    <col min="8" max="8" width="10.109375" style="3" bestFit="1" customWidth="1"/>
    <col min="9" max="9" width="10.33203125" style="3" bestFit="1" customWidth="1"/>
    <col min="10" max="10" width="9.5546875" style="3" bestFit="1" customWidth="1"/>
    <col min="11" max="11" width="9.109375" style="3" bestFit="1" customWidth="1"/>
    <col min="12" max="12" width="10.33203125" style="3" bestFit="1" customWidth="1"/>
    <col min="13" max="16384" width="9.109375" style="3"/>
  </cols>
  <sheetData>
    <row r="1" spans="1:12" ht="17.399999999999999" customHeight="1" x14ac:dyDescent="0.45">
      <c r="A1" s="152" t="s">
        <v>84</v>
      </c>
      <c r="B1" s="152"/>
      <c r="C1" s="152"/>
      <c r="D1" s="152"/>
      <c r="E1" s="152"/>
      <c r="F1" s="152"/>
      <c r="G1" s="152"/>
      <c r="H1" s="152"/>
      <c r="I1" s="152"/>
      <c r="J1" s="152"/>
      <c r="K1" s="152"/>
      <c r="L1" s="152"/>
    </row>
    <row r="2" spans="1:12" ht="17.399999999999999" customHeight="1" x14ac:dyDescent="0.45">
      <c r="B2" s="153" t="s">
        <v>85</v>
      </c>
      <c r="C2" s="153"/>
      <c r="D2" s="153"/>
      <c r="E2" s="153"/>
      <c r="F2" s="153"/>
      <c r="G2" s="153"/>
      <c r="H2" s="153" t="s">
        <v>86</v>
      </c>
      <c r="I2" s="153"/>
      <c r="J2" s="153"/>
      <c r="K2" s="153"/>
      <c r="L2" s="153"/>
    </row>
    <row r="3" spans="1:12" s="10" customFormat="1" ht="19.5" customHeight="1" thickBot="1" x14ac:dyDescent="0.5">
      <c r="A3" s="62" t="s">
        <v>3</v>
      </c>
      <c r="B3" s="63">
        <v>45870</v>
      </c>
      <c r="C3" s="64">
        <v>45901</v>
      </c>
      <c r="D3" s="64">
        <v>45931</v>
      </c>
      <c r="E3" s="64">
        <v>45962</v>
      </c>
      <c r="F3" s="64">
        <v>45992</v>
      </c>
      <c r="G3" s="65">
        <v>46023</v>
      </c>
      <c r="H3" s="63" t="s">
        <v>120</v>
      </c>
      <c r="I3" s="64" t="s">
        <v>123</v>
      </c>
      <c r="J3" s="64" t="s">
        <v>124</v>
      </c>
      <c r="K3" s="66" t="s">
        <v>125</v>
      </c>
      <c r="L3" s="65" t="s">
        <v>128</v>
      </c>
    </row>
    <row r="4" spans="1:12" s="15" customFormat="1" ht="19.5" customHeight="1" thickTop="1" x14ac:dyDescent="0.45">
      <c r="A4" s="67" t="s">
        <v>87</v>
      </c>
      <c r="B4" s="68">
        <v>36870598885.179955</v>
      </c>
      <c r="C4" s="69">
        <v>36749969200.14856</v>
      </c>
      <c r="D4" s="69">
        <v>36376934042.692589</v>
      </c>
      <c r="E4" s="69">
        <v>35996633040.677055</v>
      </c>
      <c r="F4" s="69">
        <v>35603217508.444054</v>
      </c>
      <c r="G4" s="70">
        <v>30342869333.333336</v>
      </c>
      <c r="H4" s="71">
        <v>-0.32717039776611889</v>
      </c>
      <c r="I4" s="72">
        <v>-1.015062503656361</v>
      </c>
      <c r="J4" s="72">
        <v>-1.0454454505957167</v>
      </c>
      <c r="K4" s="73">
        <v>-1.0929231403071338</v>
      </c>
      <c r="L4" s="74">
        <v>-14.774923569374355</v>
      </c>
    </row>
    <row r="5" spans="1:12" s="15" customFormat="1" ht="19.5" customHeight="1" x14ac:dyDescent="0.45">
      <c r="A5" s="75" t="s">
        <v>6</v>
      </c>
      <c r="B5" s="76">
        <v>6245202143.758832</v>
      </c>
      <c r="C5" s="77">
        <v>6226836935.1642971</v>
      </c>
      <c r="D5" s="77">
        <v>6223711610.1423378</v>
      </c>
      <c r="E5" s="77">
        <v>6212159728.1903811</v>
      </c>
      <c r="F5" s="77">
        <v>6215059326.423564</v>
      </c>
      <c r="G5" s="78">
        <v>5315520384</v>
      </c>
      <c r="H5" s="79">
        <v>-0.29406908170119817</v>
      </c>
      <c r="I5" s="80">
        <v>-5.0191213524641842E-2</v>
      </c>
      <c r="J5" s="80">
        <v>-0.18561081675332325</v>
      </c>
      <c r="K5" s="81">
        <v>4.6676169964277037E-2</v>
      </c>
      <c r="L5" s="82">
        <v>-14.473537502677402</v>
      </c>
    </row>
    <row r="6" spans="1:12" s="15" customFormat="1" ht="19.5" customHeight="1" x14ac:dyDescent="0.45">
      <c r="A6" s="67" t="s">
        <v>7</v>
      </c>
      <c r="B6" s="68">
        <v>22355454250.906704</v>
      </c>
      <c r="C6" s="69">
        <v>21823215544.039879</v>
      </c>
      <c r="D6" s="69">
        <v>21663522812.2537</v>
      </c>
      <c r="E6" s="69">
        <v>21162251578.304924</v>
      </c>
      <c r="F6" s="69">
        <v>20812078087.03199</v>
      </c>
      <c r="G6" s="70">
        <v>14471891389.587498</v>
      </c>
      <c r="H6" s="83">
        <v>-2.3808002328793543</v>
      </c>
      <c r="I6" s="84">
        <v>-0.73175619543286441</v>
      </c>
      <c r="J6" s="84">
        <v>-2.3138952897597931</v>
      </c>
      <c r="K6" s="85">
        <v>-1.654708101249136</v>
      </c>
      <c r="L6" s="86">
        <v>-30.463977075864733</v>
      </c>
    </row>
    <row r="7" spans="1:12" s="15" customFormat="1" ht="19.5" customHeight="1" x14ac:dyDescent="0.45">
      <c r="A7" s="75" t="s">
        <v>8</v>
      </c>
      <c r="B7" s="76">
        <v>21374492394.50119</v>
      </c>
      <c r="C7" s="77">
        <v>21316886849.832439</v>
      </c>
      <c r="D7" s="77">
        <v>21449699994.60498</v>
      </c>
      <c r="E7" s="77">
        <v>21396276671.948578</v>
      </c>
      <c r="F7" s="77">
        <v>21303747215.189968</v>
      </c>
      <c r="G7" s="78">
        <v>22281708900.485756</v>
      </c>
      <c r="H7" s="79">
        <v>-0.26950602430947379</v>
      </c>
      <c r="I7" s="80">
        <v>0.62304193716533618</v>
      </c>
      <c r="J7" s="80">
        <v>-0.24906326274884982</v>
      </c>
      <c r="K7" s="81">
        <v>-0.43245588088660636</v>
      </c>
      <c r="L7" s="82">
        <v>4.5905618172115803</v>
      </c>
    </row>
    <row r="8" spans="1:12" s="15" customFormat="1" ht="19.5" customHeight="1" x14ac:dyDescent="0.45">
      <c r="A8" s="67" t="s">
        <v>9</v>
      </c>
      <c r="B8" s="68">
        <v>8972665681.8660374</v>
      </c>
      <c r="C8" s="69">
        <v>8907740729.8598671</v>
      </c>
      <c r="D8" s="69">
        <v>8854605760.0980568</v>
      </c>
      <c r="E8" s="69">
        <v>8841668393.0438862</v>
      </c>
      <c r="F8" s="69">
        <v>9011384410.472908</v>
      </c>
      <c r="G8" s="70">
        <v>8294255696.2857151</v>
      </c>
      <c r="H8" s="83">
        <v>-0.72358599225852416</v>
      </c>
      <c r="I8" s="84">
        <v>-0.5965033264124453</v>
      </c>
      <c r="J8" s="84">
        <v>-0.1461088997600668</v>
      </c>
      <c r="K8" s="85">
        <v>1.9195021785995081</v>
      </c>
      <c r="L8" s="86">
        <v>-7.9580304370741928</v>
      </c>
    </row>
    <row r="9" spans="1:12" s="15" customFormat="1" ht="19.5" customHeight="1" x14ac:dyDescent="0.45">
      <c r="A9" s="75" t="s">
        <v>10</v>
      </c>
      <c r="B9" s="76">
        <v>13394372018.174967</v>
      </c>
      <c r="C9" s="77">
        <v>12985369121.5385</v>
      </c>
      <c r="D9" s="77">
        <v>12385821688.600122</v>
      </c>
      <c r="E9" s="77">
        <v>11910823685.559677</v>
      </c>
      <c r="F9" s="77">
        <v>11577882705.171255</v>
      </c>
      <c r="G9" s="78">
        <v>7680636642.8000002</v>
      </c>
      <c r="H9" s="79">
        <v>-3.0535429065393083</v>
      </c>
      <c r="I9" s="80">
        <v>-4.6170996552105992</v>
      </c>
      <c r="J9" s="80">
        <v>-3.8350140586767223</v>
      </c>
      <c r="K9" s="81">
        <v>-2.795280907331954</v>
      </c>
      <c r="L9" s="82">
        <v>-33.661129254924582</v>
      </c>
    </row>
    <row r="10" spans="1:12" s="15" customFormat="1" ht="19.5" customHeight="1" x14ac:dyDescent="0.45">
      <c r="A10" s="67" t="s">
        <v>11</v>
      </c>
      <c r="B10" s="68">
        <v>116006733413.97867</v>
      </c>
      <c r="C10" s="69">
        <v>116013510014.50165</v>
      </c>
      <c r="D10" s="69">
        <v>115211465865.88742</v>
      </c>
      <c r="E10" s="69">
        <v>114884048975.78572</v>
      </c>
      <c r="F10" s="69">
        <v>114827374325.99298</v>
      </c>
      <c r="G10" s="70">
        <v>116273533842.66667</v>
      </c>
      <c r="H10" s="83">
        <v>5.8415579195614242E-3</v>
      </c>
      <c r="I10" s="84">
        <v>-0.69133685250448718</v>
      </c>
      <c r="J10" s="84">
        <v>-0.28418776520283684</v>
      </c>
      <c r="K10" s="85">
        <v>-4.9332044176719769E-2</v>
      </c>
      <c r="L10" s="86">
        <v>1.2594205215979759</v>
      </c>
    </row>
    <row r="11" spans="1:12" s="15" customFormat="1" ht="19.5" customHeight="1" x14ac:dyDescent="0.45">
      <c r="A11" s="75" t="s">
        <v>12</v>
      </c>
      <c r="B11" s="76">
        <v>118654481175.75252</v>
      </c>
      <c r="C11" s="77">
        <v>117871276502.79205</v>
      </c>
      <c r="D11" s="77">
        <v>117936701457.34125</v>
      </c>
      <c r="E11" s="77">
        <v>116643407330.18198</v>
      </c>
      <c r="F11" s="77">
        <v>116964939389.5394</v>
      </c>
      <c r="G11" s="78">
        <v>103895016482.39998</v>
      </c>
      <c r="H11" s="79">
        <v>-0.66007171848855295</v>
      </c>
      <c r="I11" s="80">
        <v>5.550542633483424E-2</v>
      </c>
      <c r="J11" s="80">
        <v>-1.0966002195907376</v>
      </c>
      <c r="K11" s="81">
        <v>0.27565386395758118</v>
      </c>
      <c r="L11" s="82">
        <v>-11.174222784497346</v>
      </c>
    </row>
    <row r="12" spans="1:12" s="15" customFormat="1" ht="19.5" customHeight="1" x14ac:dyDescent="0.45">
      <c r="A12" s="67" t="s">
        <v>13</v>
      </c>
      <c r="B12" s="68">
        <v>12444839184.4158</v>
      </c>
      <c r="C12" s="69">
        <v>12321895662.562824</v>
      </c>
      <c r="D12" s="69">
        <v>12051090687.038925</v>
      </c>
      <c r="E12" s="69">
        <v>11825225735.767635</v>
      </c>
      <c r="F12" s="69">
        <v>11761655985.000895</v>
      </c>
      <c r="G12" s="70">
        <v>12744830103.012695</v>
      </c>
      <c r="H12" s="83">
        <v>-0.98790767828429438</v>
      </c>
      <c r="I12" s="84">
        <v>-2.1977541681892032</v>
      </c>
      <c r="J12" s="84">
        <v>-1.8742282929976595</v>
      </c>
      <c r="K12" s="85">
        <v>-0.53757748213180134</v>
      </c>
      <c r="L12" s="86">
        <v>8.3591470390359746</v>
      </c>
    </row>
    <row r="13" spans="1:12" s="15" customFormat="1" ht="19.5" customHeight="1" x14ac:dyDescent="0.45">
      <c r="A13" s="75" t="s">
        <v>14</v>
      </c>
      <c r="B13" s="76">
        <v>23218477246.7836</v>
      </c>
      <c r="C13" s="77">
        <v>22135221797.126354</v>
      </c>
      <c r="D13" s="77">
        <v>23074864372.054218</v>
      </c>
      <c r="E13" s="77">
        <v>22313901373.510857</v>
      </c>
      <c r="F13" s="77">
        <v>24379730731.437035</v>
      </c>
      <c r="G13" s="78">
        <v>15566734609.338612</v>
      </c>
      <c r="H13" s="79">
        <v>-4.6654887749251746</v>
      </c>
      <c r="I13" s="80">
        <v>4.2450108859982238</v>
      </c>
      <c r="J13" s="80">
        <v>-3.2978005256011689</v>
      </c>
      <c r="K13" s="81">
        <v>9.2580375047214059</v>
      </c>
      <c r="L13" s="82">
        <v>-36.148865708078937</v>
      </c>
    </row>
    <row r="14" spans="1:12" s="15" customFormat="1" ht="19.5" customHeight="1" x14ac:dyDescent="0.45">
      <c r="A14" s="67" t="s">
        <v>15</v>
      </c>
      <c r="B14" s="68">
        <v>169913812.53655112</v>
      </c>
      <c r="C14" s="69">
        <v>164109860.0821805</v>
      </c>
      <c r="D14" s="69">
        <v>159518507.36020362</v>
      </c>
      <c r="E14" s="69">
        <v>154960021.15472627</v>
      </c>
      <c r="F14" s="69">
        <v>155041263.30838019</v>
      </c>
      <c r="G14" s="138" t="s">
        <v>111</v>
      </c>
      <c r="H14" s="83">
        <v>-3.4158214495493722</v>
      </c>
      <c r="I14" s="84">
        <v>-2.79773117817399</v>
      </c>
      <c r="J14" s="84">
        <v>-2.8576534979630863</v>
      </c>
      <c r="K14" s="85">
        <v>5.242781528327356E-2</v>
      </c>
      <c r="L14" s="86" t="s">
        <v>111</v>
      </c>
    </row>
    <row r="15" spans="1:12" s="15" customFormat="1" ht="19.5" customHeight="1" x14ac:dyDescent="0.45">
      <c r="A15" s="75" t="s">
        <v>16</v>
      </c>
      <c r="B15" s="76">
        <v>20621825657.280361</v>
      </c>
      <c r="C15" s="77">
        <v>20733849265.333271</v>
      </c>
      <c r="D15" s="77">
        <v>20917630962.252632</v>
      </c>
      <c r="E15" s="77">
        <v>20548939427.051929</v>
      </c>
      <c r="F15" s="77">
        <v>19799917360.375584</v>
      </c>
      <c r="G15" s="78">
        <v>25120639513.132141</v>
      </c>
      <c r="H15" s="79">
        <v>0.54322837325200268</v>
      </c>
      <c r="I15" s="80">
        <v>0.88638484136489559</v>
      </c>
      <c r="J15" s="80">
        <v>-1.7625874357666604</v>
      </c>
      <c r="K15" s="81">
        <v>-3.6450643564128971</v>
      </c>
      <c r="L15" s="82">
        <v>26.872446262854655</v>
      </c>
    </row>
    <row r="16" spans="1:12" s="15" customFormat="1" ht="19.5" customHeight="1" x14ac:dyDescent="0.45">
      <c r="A16" s="67" t="s">
        <v>17</v>
      </c>
      <c r="B16" s="68">
        <v>165721621041.4397</v>
      </c>
      <c r="C16" s="69">
        <v>165003385193.1051</v>
      </c>
      <c r="D16" s="69">
        <v>167999997527.43491</v>
      </c>
      <c r="E16" s="69">
        <v>166849999740.49536</v>
      </c>
      <c r="F16" s="69">
        <v>166462983745.35065</v>
      </c>
      <c r="G16" s="70">
        <v>154625840277.31018</v>
      </c>
      <c r="H16" s="83">
        <v>-0.43339899997417719</v>
      </c>
      <c r="I16" s="84">
        <v>1.8160914279563567</v>
      </c>
      <c r="J16" s="84">
        <v>-0.68452250230047751</v>
      </c>
      <c r="K16" s="85">
        <v>-0.23195444755568229</v>
      </c>
      <c r="L16" s="86">
        <v>-7.1109763874883551</v>
      </c>
    </row>
    <row r="17" spans="1:22" s="15" customFormat="1" ht="19.5" customHeight="1" x14ac:dyDescent="0.45">
      <c r="A17" s="75" t="s">
        <v>18</v>
      </c>
      <c r="B17" s="76">
        <v>324208756305.24921</v>
      </c>
      <c r="C17" s="77">
        <v>325632191512.10339</v>
      </c>
      <c r="D17" s="77">
        <v>326997950480.81787</v>
      </c>
      <c r="E17" s="77">
        <v>328349099863.25629</v>
      </c>
      <c r="F17" s="77">
        <v>329753593607.43884</v>
      </c>
      <c r="G17" s="78">
        <v>342093144170.19611</v>
      </c>
      <c r="H17" s="79">
        <v>0.43904897050774938</v>
      </c>
      <c r="I17" s="80">
        <v>0.41941767562121424</v>
      </c>
      <c r="J17" s="80">
        <v>0.41319811957587493</v>
      </c>
      <c r="K17" s="81">
        <v>0.42774405191532416</v>
      </c>
      <c r="L17" s="82">
        <v>3.7420518841857042</v>
      </c>
    </row>
    <row r="18" spans="1:22" s="15" customFormat="1" ht="19.5" customHeight="1" x14ac:dyDescent="0.45">
      <c r="A18" s="67" t="s">
        <v>19</v>
      </c>
      <c r="B18" s="68">
        <v>21289676374.844707</v>
      </c>
      <c r="C18" s="69">
        <v>21632535713.114521</v>
      </c>
      <c r="D18" s="69">
        <v>21625241142.002716</v>
      </c>
      <c r="E18" s="69">
        <v>21096846479.805508</v>
      </c>
      <c r="F18" s="69">
        <v>20557729932.354504</v>
      </c>
      <c r="G18" s="70">
        <v>17412295669.308109</v>
      </c>
      <c r="H18" s="83">
        <v>1.6104488026644104</v>
      </c>
      <c r="I18" s="84">
        <v>-3.3720370133871747E-2</v>
      </c>
      <c r="J18" s="84">
        <v>-2.4434162778925406</v>
      </c>
      <c r="K18" s="85">
        <v>-2.5554366524260463</v>
      </c>
      <c r="L18" s="86">
        <v>-15.30049413722473</v>
      </c>
    </row>
    <row r="19" spans="1:22" s="15" customFormat="1" ht="19.5" customHeight="1" x14ac:dyDescent="0.45">
      <c r="A19" s="75" t="s">
        <v>20</v>
      </c>
      <c r="B19" s="76">
        <v>10908141791.268322</v>
      </c>
      <c r="C19" s="77">
        <v>10926170608.267216</v>
      </c>
      <c r="D19" s="77">
        <v>10841370955.158541</v>
      </c>
      <c r="E19" s="77">
        <v>10723487888.77816</v>
      </c>
      <c r="F19" s="77">
        <v>10423754023.36677</v>
      </c>
      <c r="G19" s="78">
        <v>8615311173.3999996</v>
      </c>
      <c r="H19" s="79">
        <v>0.16527853546353111</v>
      </c>
      <c r="I19" s="80">
        <v>-0.77611503745430577</v>
      </c>
      <c r="J19" s="80">
        <v>-1.0873446436614143</v>
      </c>
      <c r="K19" s="81">
        <v>-2.7951154374413312</v>
      </c>
      <c r="L19" s="82">
        <v>-17.349247170576088</v>
      </c>
    </row>
    <row r="20" spans="1:22" s="15" customFormat="1" ht="19.5" customHeight="1" x14ac:dyDescent="0.45">
      <c r="A20" s="67" t="s">
        <v>21</v>
      </c>
      <c r="B20" s="68">
        <v>11484243046.93833</v>
      </c>
      <c r="C20" s="69">
        <v>11521191166.00642</v>
      </c>
      <c r="D20" s="69">
        <v>11699116493.974033</v>
      </c>
      <c r="E20" s="69">
        <v>11921450429.189602</v>
      </c>
      <c r="F20" s="69">
        <v>12731642898.238594</v>
      </c>
      <c r="G20" s="70">
        <v>10577143007.999998</v>
      </c>
      <c r="H20" s="83">
        <v>0.32172881501266737</v>
      </c>
      <c r="I20" s="84">
        <v>1.544331010604072</v>
      </c>
      <c r="J20" s="84">
        <v>1.9004335526540572</v>
      </c>
      <c r="K20" s="85">
        <v>6.7960897364069073</v>
      </c>
      <c r="L20" s="86">
        <v>-16.922402768119326</v>
      </c>
    </row>
    <row r="21" spans="1:22" s="10" customFormat="1" ht="19.5" customHeight="1" thickBot="1" x14ac:dyDescent="0.5">
      <c r="A21" s="87" t="s">
        <v>22</v>
      </c>
      <c r="B21" s="88">
        <v>933941494424.87537</v>
      </c>
      <c r="C21" s="89">
        <v>931965355675.57849</v>
      </c>
      <c r="D21" s="89">
        <v>935469244359.71448</v>
      </c>
      <c r="E21" s="89">
        <v>930831180362.70227</v>
      </c>
      <c r="F21" s="89">
        <v>932341732515.13757</v>
      </c>
      <c r="G21" s="90">
        <v>895311371195.25684</v>
      </c>
      <c r="H21" s="91">
        <v>-0.21159127858579874</v>
      </c>
      <c r="I21" s="92">
        <v>0.37596769695329435</v>
      </c>
      <c r="J21" s="92">
        <v>-0.49580079997036952</v>
      </c>
      <c r="K21" s="93">
        <v>0.16227992618884635</v>
      </c>
      <c r="L21" s="94">
        <v>-3.9717584259567063</v>
      </c>
    </row>
    <row r="22" spans="1:22" ht="19.5" customHeight="1" thickTop="1" x14ac:dyDescent="0.45">
      <c r="A22" s="67" t="s">
        <v>23</v>
      </c>
      <c r="B22" s="95">
        <v>205458953960.31412</v>
      </c>
      <c r="C22" s="96">
        <v>205725315718.58704</v>
      </c>
      <c r="D22" s="96">
        <v>206014938056.44855</v>
      </c>
      <c r="E22" s="96">
        <v>211037132676.01517</v>
      </c>
      <c r="F22" s="96">
        <v>211905890643.06467</v>
      </c>
      <c r="G22" s="97">
        <v>218700052666.68539</v>
      </c>
      <c r="H22" s="83">
        <v>0.12964232180621149</v>
      </c>
      <c r="I22" s="84">
        <v>0.14078108804931322</v>
      </c>
      <c r="J22" s="84">
        <v>2.4377817778391098</v>
      </c>
      <c r="K22" s="85">
        <v>0.41166118778879213</v>
      </c>
      <c r="L22" s="86">
        <v>3.2062166856252405</v>
      </c>
    </row>
    <row r="23" spans="1:22" ht="19.5" customHeight="1" x14ac:dyDescent="0.45">
      <c r="A23" s="75" t="s">
        <v>24</v>
      </c>
      <c r="B23" s="98">
        <v>61317201662.18882</v>
      </c>
      <c r="C23" s="99">
        <v>61827799608.500496</v>
      </c>
      <c r="D23" s="99">
        <v>61919411420.828934</v>
      </c>
      <c r="E23" s="99">
        <v>63141041320.685539</v>
      </c>
      <c r="F23" s="99">
        <v>63149913882.133118</v>
      </c>
      <c r="G23" s="100">
        <v>60348533394.317467</v>
      </c>
      <c r="H23" s="79">
        <v>0.8327156694538651</v>
      </c>
      <c r="I23" s="80">
        <v>0.14817252580316964</v>
      </c>
      <c r="J23" s="80">
        <v>1.9729352586282278</v>
      </c>
      <c r="K23" s="81">
        <v>1.4051972001083435E-2</v>
      </c>
      <c r="L23" s="82">
        <v>-4.4360796644066998</v>
      </c>
    </row>
    <row r="24" spans="1:22" ht="19.5" customHeight="1" x14ac:dyDescent="0.45">
      <c r="A24" s="67" t="s">
        <v>25</v>
      </c>
      <c r="B24" s="95">
        <v>111798699074.71399</v>
      </c>
      <c r="C24" s="96">
        <v>111301179976.68834</v>
      </c>
      <c r="D24" s="96">
        <v>111556428206.50551</v>
      </c>
      <c r="E24" s="96">
        <v>112534680985.32555</v>
      </c>
      <c r="F24" s="96">
        <v>112673034373.27176</v>
      </c>
      <c r="G24" s="97">
        <v>104303974921.92</v>
      </c>
      <c r="H24" s="83">
        <v>-0.44501331602541105</v>
      </c>
      <c r="I24" s="84">
        <v>0.22933110850273941</v>
      </c>
      <c r="J24" s="84">
        <v>0.87691296193990187</v>
      </c>
      <c r="K24" s="85">
        <v>0.12294288901415484</v>
      </c>
      <c r="L24" s="86">
        <v>-7.4277394745810295</v>
      </c>
    </row>
    <row r="25" spans="1:22" ht="19.5" customHeight="1" x14ac:dyDescent="0.45">
      <c r="A25" s="75" t="s">
        <v>26</v>
      </c>
      <c r="B25" s="98">
        <v>71965714204.747406</v>
      </c>
      <c r="C25" s="99">
        <v>71872983017.538757</v>
      </c>
      <c r="D25" s="99">
        <v>71752586010.361664</v>
      </c>
      <c r="E25" s="99">
        <v>73205746099.27623</v>
      </c>
      <c r="F25" s="99">
        <v>72799315206.319504</v>
      </c>
      <c r="G25" s="100">
        <v>69854337334.444443</v>
      </c>
      <c r="H25" s="79">
        <v>-0.12885467508155779</v>
      </c>
      <c r="I25" s="80">
        <v>-0.16751358037792041</v>
      </c>
      <c r="J25" s="80">
        <v>2.0252372349405245</v>
      </c>
      <c r="K25" s="81">
        <v>-0.55518987868186098</v>
      </c>
      <c r="L25" s="82">
        <v>-4.0453373270459174</v>
      </c>
    </row>
    <row r="26" spans="1:22" ht="19.5" customHeight="1" x14ac:dyDescent="0.45">
      <c r="A26" s="67" t="s">
        <v>27</v>
      </c>
      <c r="B26" s="95">
        <v>30561995460.973534</v>
      </c>
      <c r="C26" s="96">
        <v>30235907585.776783</v>
      </c>
      <c r="D26" s="96">
        <v>29829367500.22139</v>
      </c>
      <c r="E26" s="96">
        <v>29672012855.912388</v>
      </c>
      <c r="F26" s="96">
        <v>29273242925.919876</v>
      </c>
      <c r="G26" s="97">
        <v>22121393023.333332</v>
      </c>
      <c r="H26" s="83">
        <v>-1.0669718069068912</v>
      </c>
      <c r="I26" s="84">
        <v>-1.3445605507361513</v>
      </c>
      <c r="J26" s="84">
        <v>-0.52751585935516543</v>
      </c>
      <c r="K26" s="85">
        <v>-1.3439261162663363</v>
      </c>
      <c r="L26" s="86">
        <v>-24.431355011418866</v>
      </c>
    </row>
    <row r="27" spans="1:22" ht="19.5" customHeight="1" thickBot="1" x14ac:dyDescent="0.5">
      <c r="A27" s="87" t="s">
        <v>28</v>
      </c>
      <c r="B27" s="88">
        <v>481102564362.93787</v>
      </c>
      <c r="C27" s="89">
        <v>480963185907.09143</v>
      </c>
      <c r="D27" s="89">
        <v>481072731194.36603</v>
      </c>
      <c r="E27" s="89">
        <v>489590613937.2149</v>
      </c>
      <c r="F27" s="89">
        <v>489801397030.70886</v>
      </c>
      <c r="G27" s="90">
        <v>475328291340.70062</v>
      </c>
      <c r="H27" s="91">
        <v>-2.8970632495173287E-2</v>
      </c>
      <c r="I27" s="92">
        <v>2.2776231213628151E-2</v>
      </c>
      <c r="J27" s="92">
        <v>1.7706018634025211</v>
      </c>
      <c r="K27" s="93">
        <v>4.305292779183123E-2</v>
      </c>
      <c r="L27" s="94">
        <v>-2.9548926927827512</v>
      </c>
    </row>
    <row r="28" spans="1:22" ht="19.5" customHeight="1" thickTop="1" thickBot="1" x14ac:dyDescent="0.5">
      <c r="A28" s="101" t="s">
        <v>29</v>
      </c>
      <c r="B28" s="102">
        <v>1415044058787.8132</v>
      </c>
      <c r="C28" s="103">
        <v>1412928541582.6699</v>
      </c>
      <c r="D28" s="103">
        <v>1416541975554.0806</v>
      </c>
      <c r="E28" s="103">
        <v>1420421794299.9172</v>
      </c>
      <c r="F28" s="103">
        <v>1422143129545.8464</v>
      </c>
      <c r="G28" s="104">
        <v>1370639662535.9575</v>
      </c>
      <c r="H28" s="105">
        <v>-0.149501861232193</v>
      </c>
      <c r="I28" s="106">
        <v>0.25574074449392636</v>
      </c>
      <c r="J28" s="106">
        <v>0.27389366589853914</v>
      </c>
      <c r="K28" s="107">
        <v>0.12118479544855898</v>
      </c>
      <c r="L28" s="108">
        <v>-3.6215389252934216</v>
      </c>
    </row>
    <row r="29" spans="1:22" s="2" customFormat="1" ht="27" customHeight="1" thickTop="1" x14ac:dyDescent="0.35">
      <c r="A29" s="144" t="s">
        <v>135</v>
      </c>
      <c r="B29" s="144"/>
      <c r="C29" s="144"/>
      <c r="D29" s="144"/>
      <c r="E29" s="144"/>
      <c r="F29" s="144"/>
      <c r="G29" s="144"/>
      <c r="H29" s="144"/>
      <c r="I29" s="144"/>
      <c r="J29" s="144"/>
      <c r="K29" s="144"/>
      <c r="L29" s="144"/>
    </row>
    <row r="30" spans="1:22" s="2" customFormat="1" ht="15" x14ac:dyDescent="0.35">
      <c r="A30" s="144" t="s">
        <v>134</v>
      </c>
      <c r="B30" s="144"/>
      <c r="C30" s="144"/>
      <c r="D30" s="144"/>
      <c r="E30" s="144"/>
      <c r="F30" s="144"/>
      <c r="G30" s="144"/>
      <c r="H30" s="144"/>
      <c r="I30" s="144"/>
      <c r="J30" s="144"/>
      <c r="K30" s="144"/>
      <c r="L30" s="144"/>
    </row>
    <row r="31" spans="1:22" s="2" customFormat="1" ht="27" customHeight="1" x14ac:dyDescent="0.35">
      <c r="A31" s="144" t="s">
        <v>113</v>
      </c>
      <c r="B31" s="144"/>
      <c r="C31" s="144"/>
      <c r="D31" s="144"/>
      <c r="E31" s="144"/>
      <c r="F31" s="144"/>
      <c r="G31" s="144"/>
      <c r="H31" s="144"/>
      <c r="I31" s="144"/>
      <c r="J31" s="144"/>
      <c r="K31" s="144"/>
      <c r="L31" s="144"/>
      <c r="M31" s="31"/>
      <c r="N31" s="31"/>
      <c r="O31" s="31"/>
      <c r="P31" s="31"/>
      <c r="Q31" s="31"/>
      <c r="R31" s="31"/>
      <c r="S31" s="31"/>
      <c r="T31" s="31"/>
      <c r="U31" s="31"/>
      <c r="V31" s="31"/>
    </row>
    <row r="32" spans="1:22" s="2" customFormat="1" ht="15" x14ac:dyDescent="0.35">
      <c r="A32" s="145" t="s">
        <v>32</v>
      </c>
      <c r="B32" s="145"/>
      <c r="C32" s="145"/>
      <c r="D32" s="145"/>
      <c r="E32" s="145"/>
      <c r="F32" s="145"/>
      <c r="G32" s="145"/>
      <c r="H32" s="145"/>
      <c r="I32" s="145"/>
      <c r="J32" s="145"/>
      <c r="K32" s="145"/>
      <c r="L32" s="145"/>
    </row>
    <row r="33" spans="1:3" s="2" customFormat="1" ht="15" x14ac:dyDescent="0.35">
      <c r="A33" s="30" t="s">
        <v>88</v>
      </c>
    </row>
    <row r="34" spans="1:3" s="2" customFormat="1" ht="15" x14ac:dyDescent="0.35">
      <c r="A34" s="150" t="s">
        <v>118</v>
      </c>
      <c r="B34" s="150"/>
      <c r="C34" s="150"/>
    </row>
  </sheetData>
  <mergeCells count="8">
    <mergeCell ref="A1:L1"/>
    <mergeCell ref="H2:L2"/>
    <mergeCell ref="B2:G2"/>
    <mergeCell ref="A31:L31"/>
    <mergeCell ref="A34:C34"/>
    <mergeCell ref="A30:L30"/>
    <mergeCell ref="A29:L29"/>
    <mergeCell ref="A32:L32"/>
  </mergeCells>
  <printOptions horizontalCentered="1"/>
  <pageMargins left="0.39370078740157483" right="0.39370078740157483" top="0.78740157480314965" bottom="0.78740157480314965" header="0.31496062992125984" footer="0.31496062992125984"/>
  <pageSetup paperSize="9" scale="74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BI48"/>
  <sheetViews>
    <sheetView showGridLines="0" zoomScale="90" zoomScaleNormal="90" workbookViewId="0">
      <pane xSplit="1" ySplit="3" topLeftCell="AJ4" activePane="bottomRight" state="frozen"/>
      <selection activeCell="E36" sqref="E36"/>
      <selection pane="topRight" activeCell="E36" sqref="E36"/>
      <selection pane="bottomLeft" activeCell="E36" sqref="E36"/>
      <selection pane="bottomRight" activeCell="A3" sqref="A3"/>
    </sheetView>
  </sheetViews>
  <sheetFormatPr defaultColWidth="9.109375" defaultRowHeight="19.2" x14ac:dyDescent="0.45"/>
  <cols>
    <col min="1" max="1" width="21.109375" style="3" customWidth="1"/>
    <col min="2" max="2" width="8.33203125" style="3" bestFit="1" customWidth="1"/>
    <col min="3" max="3" width="9.5546875" style="3" bestFit="1" customWidth="1"/>
    <col min="4" max="4" width="11.44140625" style="3" bestFit="1" customWidth="1"/>
    <col min="5" max="5" width="12.6640625" style="3" bestFit="1" customWidth="1"/>
    <col min="6" max="6" width="14.109375" style="3" bestFit="1" customWidth="1"/>
    <col min="7" max="14" width="17.33203125" style="3" bestFit="1" customWidth="1"/>
    <col min="15" max="33" width="18.6640625" style="3" bestFit="1" customWidth="1"/>
    <col min="34" max="39" width="20.5546875" style="3" bestFit="1" customWidth="1"/>
    <col min="40" max="16384" width="9.109375" style="3"/>
  </cols>
  <sheetData>
    <row r="1" spans="1:39" ht="22.5" customHeight="1" x14ac:dyDescent="0.45">
      <c r="B1" s="10"/>
      <c r="C1" s="10" t="s">
        <v>89</v>
      </c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</row>
    <row r="2" spans="1:39" x14ac:dyDescent="0.45">
      <c r="C2" s="3" t="s">
        <v>2</v>
      </c>
    </row>
    <row r="3" spans="1:39" s="10" customFormat="1" ht="33" customHeight="1" thickBot="1" x14ac:dyDescent="0.5">
      <c r="A3" s="6" t="s">
        <v>3</v>
      </c>
      <c r="B3" s="7" t="s">
        <v>36</v>
      </c>
      <c r="C3" s="7" t="s">
        <v>37</v>
      </c>
      <c r="D3" s="7" t="s">
        <v>38</v>
      </c>
      <c r="E3" s="7" t="s">
        <v>39</v>
      </c>
      <c r="F3" s="7" t="s">
        <v>40</v>
      </c>
      <c r="G3" s="7" t="s">
        <v>41</v>
      </c>
      <c r="H3" s="7" t="s">
        <v>42</v>
      </c>
      <c r="I3" s="7" t="s">
        <v>43</v>
      </c>
      <c r="J3" s="7" t="s">
        <v>44</v>
      </c>
      <c r="K3" s="7" t="s">
        <v>45</v>
      </c>
      <c r="L3" s="7" t="s">
        <v>46</v>
      </c>
      <c r="M3" s="7" t="s">
        <v>47</v>
      </c>
      <c r="N3" s="7" t="s">
        <v>48</v>
      </c>
      <c r="O3" s="7" t="s">
        <v>49</v>
      </c>
      <c r="P3" s="7" t="s">
        <v>50</v>
      </c>
      <c r="Q3" s="7" t="s">
        <v>51</v>
      </c>
      <c r="R3" s="7" t="s">
        <v>52</v>
      </c>
      <c r="S3" s="7" t="s">
        <v>53</v>
      </c>
      <c r="T3" s="7" t="s">
        <v>54</v>
      </c>
      <c r="U3" s="7" t="s">
        <v>55</v>
      </c>
      <c r="V3" s="7" t="s">
        <v>56</v>
      </c>
      <c r="W3" s="7" t="s">
        <v>57</v>
      </c>
      <c r="X3" s="7" t="s">
        <v>58</v>
      </c>
      <c r="Y3" s="7" t="s">
        <v>59</v>
      </c>
      <c r="Z3" s="7" t="s">
        <v>60</v>
      </c>
      <c r="AA3" s="7" t="s">
        <v>61</v>
      </c>
      <c r="AB3" s="7" t="s">
        <v>62</v>
      </c>
      <c r="AC3" s="55">
        <v>2016</v>
      </c>
      <c r="AD3" s="55">
        <v>2017</v>
      </c>
      <c r="AE3" s="55">
        <v>2018</v>
      </c>
      <c r="AF3" s="55">
        <v>2019</v>
      </c>
      <c r="AG3" s="55">
        <v>2020</v>
      </c>
      <c r="AH3" s="55">
        <v>2021</v>
      </c>
      <c r="AI3" s="55">
        <v>2022</v>
      </c>
      <c r="AJ3" s="55">
        <v>2023</v>
      </c>
      <c r="AK3" s="55">
        <v>2024</v>
      </c>
      <c r="AL3" s="55">
        <v>2025</v>
      </c>
      <c r="AM3" s="55" t="s">
        <v>126</v>
      </c>
    </row>
    <row r="4" spans="1:39" s="15" customFormat="1" ht="18" customHeight="1" thickTop="1" x14ac:dyDescent="0.45">
      <c r="A4" s="11" t="s">
        <v>5</v>
      </c>
      <c r="B4" s="12">
        <v>688.3385331245006</v>
      </c>
      <c r="C4" s="12">
        <v>16232.296060605373</v>
      </c>
      <c r="D4" s="12">
        <v>94045.051486059383</v>
      </c>
      <c r="E4" s="12">
        <v>895547.2397727255</v>
      </c>
      <c r="F4" s="12">
        <v>11953713.792363614</v>
      </c>
      <c r="G4" s="12">
        <v>386418764.89090884</v>
      </c>
      <c r="H4" s="12">
        <v>607843463.33333337</v>
      </c>
      <c r="I4" s="12">
        <v>464899681.66666663</v>
      </c>
      <c r="J4" s="12">
        <v>468124469.99999994</v>
      </c>
      <c r="K4" s="12">
        <v>589915223.33333337</v>
      </c>
      <c r="L4" s="12">
        <v>849292249.99999988</v>
      </c>
      <c r="M4" s="12">
        <v>1277854939.9999998</v>
      </c>
      <c r="N4" s="12">
        <v>1608143766.6666663</v>
      </c>
      <c r="O4" s="12">
        <v>1518014811.6666665</v>
      </c>
      <c r="P4" s="12">
        <v>2435689310.0000005</v>
      </c>
      <c r="Q4" s="12">
        <v>4748100000</v>
      </c>
      <c r="R4" s="12">
        <v>3632553533.333333</v>
      </c>
      <c r="S4" s="12">
        <v>2722382139.166666</v>
      </c>
      <c r="T4" s="12">
        <v>3960091860.0000005</v>
      </c>
      <c r="U4" s="12">
        <v>4132550287.4999995</v>
      </c>
      <c r="V4" s="12">
        <v>2899956618.3333335</v>
      </c>
      <c r="W4" s="12">
        <v>2962136020.8333335</v>
      </c>
      <c r="X4" s="12">
        <v>8400487830.0000019</v>
      </c>
      <c r="Y4" s="12">
        <v>11089294493.333334</v>
      </c>
      <c r="Z4" s="12">
        <v>8366434873.333333</v>
      </c>
      <c r="AA4" s="12">
        <v>11333341024.999998</v>
      </c>
      <c r="AB4" s="12">
        <v>12396934565.000002</v>
      </c>
      <c r="AC4" s="56">
        <v>12402047338.33333</v>
      </c>
      <c r="AD4" s="56">
        <v>8593813215.6635818</v>
      </c>
      <c r="AE4" s="56">
        <v>13542991354.629631</v>
      </c>
      <c r="AF4" s="56">
        <v>16517815431.790127</v>
      </c>
      <c r="AG4" s="56">
        <v>20164730271.604939</v>
      </c>
      <c r="AH4" s="56">
        <v>26441155996.141972</v>
      </c>
      <c r="AI4" s="56">
        <v>34794331999.60318</v>
      </c>
      <c r="AJ4" s="56">
        <v>30455754095.601856</v>
      </c>
      <c r="AK4" s="56">
        <v>32794112223.544979</v>
      </c>
      <c r="AL4" s="56">
        <v>35738486372.222214</v>
      </c>
      <c r="AM4" s="56">
        <v>30342869333.333336</v>
      </c>
    </row>
    <row r="5" spans="1:39" s="15" customFormat="1" ht="18" customHeight="1" x14ac:dyDescent="0.45">
      <c r="A5" s="16" t="s">
        <v>6</v>
      </c>
      <c r="B5" s="17">
        <v>52.609567964250004</v>
      </c>
      <c r="C5" s="17">
        <v>1202.3795833332651</v>
      </c>
      <c r="D5" s="17">
        <v>6919.9020751514427</v>
      </c>
      <c r="E5" s="17">
        <v>61094.608119999903</v>
      </c>
      <c r="F5" s="17">
        <v>1652977.6606060578</v>
      </c>
      <c r="G5" s="17">
        <v>38726765.57272727</v>
      </c>
      <c r="H5" s="17">
        <v>57985634.166666664</v>
      </c>
      <c r="I5" s="17">
        <v>61582635</v>
      </c>
      <c r="J5" s="17">
        <v>69803512.5</v>
      </c>
      <c r="K5" s="17">
        <v>77905446.666666672</v>
      </c>
      <c r="L5" s="17">
        <v>106306942.5</v>
      </c>
      <c r="M5" s="17">
        <v>134497925</v>
      </c>
      <c r="N5" s="17">
        <v>106429982.5</v>
      </c>
      <c r="O5" s="17">
        <v>153135203.33333334</v>
      </c>
      <c r="P5" s="17">
        <v>219161932.50000003</v>
      </c>
      <c r="Q5" s="17">
        <v>276493886.66666663</v>
      </c>
      <c r="R5" s="17">
        <v>307620724.16666669</v>
      </c>
      <c r="S5" s="17">
        <v>237211936.66666669</v>
      </c>
      <c r="T5" s="17">
        <v>314371733.33333331</v>
      </c>
      <c r="U5" s="17">
        <v>498919190</v>
      </c>
      <c r="V5" s="17">
        <v>311694588.33333331</v>
      </c>
      <c r="W5" s="17">
        <v>317014187.50000006</v>
      </c>
      <c r="X5" s="17">
        <v>471752629.07500005</v>
      </c>
      <c r="Y5" s="17">
        <v>560370038.17142868</v>
      </c>
      <c r="Z5" s="17">
        <v>732086847.27744722</v>
      </c>
      <c r="AA5" s="17">
        <v>870978064.57142866</v>
      </c>
      <c r="AB5" s="17">
        <v>996274201.25793648</v>
      </c>
      <c r="AC5" s="57">
        <v>1233157872.5277777</v>
      </c>
      <c r="AD5" s="57">
        <v>1284280034.7055554</v>
      </c>
      <c r="AE5" s="57">
        <v>1228221105.4777777</v>
      </c>
      <c r="AF5" s="57">
        <v>1515215752.5</v>
      </c>
      <c r="AG5" s="57">
        <v>2364061397.1916666</v>
      </c>
      <c r="AH5" s="57">
        <v>2755401562.7166662</v>
      </c>
      <c r="AI5" s="57">
        <v>3573467935.6500001</v>
      </c>
      <c r="AJ5" s="57">
        <v>4385539388.625</v>
      </c>
      <c r="AK5" s="57">
        <v>4210959022.1111116</v>
      </c>
      <c r="AL5" s="57">
        <v>6238672473.5555553</v>
      </c>
      <c r="AM5" s="57">
        <v>5315520384</v>
      </c>
    </row>
    <row r="6" spans="1:39" s="15" customFormat="1" ht="18" customHeight="1" x14ac:dyDescent="0.45">
      <c r="A6" s="11" t="s">
        <v>7</v>
      </c>
      <c r="B6" s="12">
        <v>1587.6227264723668</v>
      </c>
      <c r="C6" s="12">
        <v>36715.618314238658</v>
      </c>
      <c r="D6" s="12">
        <v>276690.41019545094</v>
      </c>
      <c r="E6" s="12">
        <v>2549354.560404845</v>
      </c>
      <c r="F6" s="12">
        <v>56622375.748484671</v>
      </c>
      <c r="G6" s="12">
        <v>1351753975.5384841</v>
      </c>
      <c r="H6" s="12">
        <v>1983271306.6666663</v>
      </c>
      <c r="I6" s="12">
        <v>1788147786.6666667</v>
      </c>
      <c r="J6" s="12">
        <v>1920882950</v>
      </c>
      <c r="K6" s="12">
        <v>2218375875</v>
      </c>
      <c r="L6" s="12">
        <v>3337262789.9999995</v>
      </c>
      <c r="M6" s="12">
        <v>2774368176.6666675</v>
      </c>
      <c r="N6" s="12">
        <v>2995847754.1666665</v>
      </c>
      <c r="O6" s="12">
        <v>4073934539.9999995</v>
      </c>
      <c r="P6" s="12">
        <v>6045742755.000001</v>
      </c>
      <c r="Q6" s="12">
        <v>8419835906.666667</v>
      </c>
      <c r="R6" s="12">
        <v>6508479080.000001</v>
      </c>
      <c r="S6" s="12">
        <v>5235036104.1666679</v>
      </c>
      <c r="T6" s="12">
        <v>5521153215.833334</v>
      </c>
      <c r="U6" s="12">
        <v>7890208354.166667</v>
      </c>
      <c r="V6" s="12">
        <v>8581692680</v>
      </c>
      <c r="W6" s="12">
        <v>7022491250.000001</v>
      </c>
      <c r="X6" s="12">
        <v>7479731670.000001</v>
      </c>
      <c r="Y6" s="12">
        <v>7132051517.500001</v>
      </c>
      <c r="Z6" s="12">
        <v>9180569429.1666679</v>
      </c>
      <c r="AA6" s="12">
        <v>9923115630</v>
      </c>
      <c r="AB6" s="12">
        <v>9871713802.5000019</v>
      </c>
      <c r="AC6" s="56">
        <v>9958302187.4999981</v>
      </c>
      <c r="AD6" s="56">
        <v>10974725852.249506</v>
      </c>
      <c r="AE6" s="56">
        <v>9676195906.4042721</v>
      </c>
      <c r="AF6" s="56">
        <v>9692832728.5643311</v>
      </c>
      <c r="AG6" s="56">
        <v>15110521178.252802</v>
      </c>
      <c r="AH6" s="56">
        <v>19255752409.311829</v>
      </c>
      <c r="AI6" s="56">
        <v>17036229351.869711</v>
      </c>
      <c r="AJ6" s="56">
        <v>20344812451.234085</v>
      </c>
      <c r="AK6" s="56">
        <v>24009963208.850006</v>
      </c>
      <c r="AL6" s="56">
        <v>20891150326.922318</v>
      </c>
      <c r="AM6" s="56">
        <v>14471891389.587498</v>
      </c>
    </row>
    <row r="7" spans="1:39" s="15" customFormat="1" ht="18" customHeight="1" x14ac:dyDescent="0.45">
      <c r="A7" s="16" t="s">
        <v>8</v>
      </c>
      <c r="B7" s="17">
        <v>1047.9353840017093</v>
      </c>
      <c r="C7" s="17">
        <v>32746.722622097863</v>
      </c>
      <c r="D7" s="17">
        <v>145283.63128723495</v>
      </c>
      <c r="E7" s="17">
        <v>1277028.6398111971</v>
      </c>
      <c r="F7" s="17">
        <v>28051838.838072661</v>
      </c>
      <c r="G7" s="17">
        <v>1028973417.4174905</v>
      </c>
      <c r="H7" s="17">
        <v>2289095536.1999998</v>
      </c>
      <c r="I7" s="17">
        <v>1742230040.8500001</v>
      </c>
      <c r="J7" s="17">
        <v>1634559781.7999997</v>
      </c>
      <c r="K7" s="17">
        <v>1711153827.4999998</v>
      </c>
      <c r="L7" s="17">
        <v>2022593124.1249995</v>
      </c>
      <c r="M7" s="17">
        <v>2000879246.3999994</v>
      </c>
      <c r="N7" s="17">
        <v>2157162193.0416665</v>
      </c>
      <c r="O7" s="17">
        <v>2392775071.458333</v>
      </c>
      <c r="P7" s="17">
        <v>3059024578.9583335</v>
      </c>
      <c r="Q7" s="17">
        <v>3310984061.666666</v>
      </c>
      <c r="R7" s="17">
        <v>3570677733.333333</v>
      </c>
      <c r="S7" s="17">
        <v>3764452202.1666665</v>
      </c>
      <c r="T7" s="17">
        <v>4183296034.666667</v>
      </c>
      <c r="U7" s="17">
        <v>4689343679.166667</v>
      </c>
      <c r="V7" s="17">
        <v>4593553311.666666</v>
      </c>
      <c r="W7" s="17">
        <v>5425314333.25</v>
      </c>
      <c r="X7" s="17">
        <v>6416951860.5000019</v>
      </c>
      <c r="Y7" s="17">
        <v>6409540617</v>
      </c>
      <c r="Z7" s="17">
        <v>7738404157.916666</v>
      </c>
      <c r="AA7" s="17">
        <v>8615769162.041666</v>
      </c>
      <c r="AB7" s="17">
        <v>9022465073.6250019</v>
      </c>
      <c r="AC7" s="57">
        <v>14639689370.833332</v>
      </c>
      <c r="AD7" s="57">
        <v>10837891127.271633</v>
      </c>
      <c r="AE7" s="57">
        <v>9933889145.6921024</v>
      </c>
      <c r="AF7" s="57">
        <v>12133653064.442739</v>
      </c>
      <c r="AG7" s="57">
        <v>10612069116.133684</v>
      </c>
      <c r="AH7" s="57">
        <v>12036577054.281368</v>
      </c>
      <c r="AI7" s="57">
        <v>15866910333.283648</v>
      </c>
      <c r="AJ7" s="57">
        <v>17570532732.557796</v>
      </c>
      <c r="AK7" s="57">
        <v>21352774971.278805</v>
      </c>
      <c r="AL7" s="57">
        <v>21384687475.135082</v>
      </c>
      <c r="AM7" s="57">
        <v>22281708900.485756</v>
      </c>
    </row>
    <row r="8" spans="1:39" s="15" customFormat="1" ht="18" customHeight="1" x14ac:dyDescent="0.45">
      <c r="A8" s="11" t="s">
        <v>9</v>
      </c>
      <c r="B8" s="12">
        <v>521.36437785459998</v>
      </c>
      <c r="C8" s="12">
        <v>18491.148569090383</v>
      </c>
      <c r="D8" s="12">
        <v>69955.204257574806</v>
      </c>
      <c r="E8" s="12">
        <v>814729.71516363486</v>
      </c>
      <c r="F8" s="12">
        <v>13637711.172030278</v>
      </c>
      <c r="G8" s="12">
        <v>671767587.74090874</v>
      </c>
      <c r="H8" s="12">
        <v>852540766.66666675</v>
      </c>
      <c r="I8" s="12">
        <v>651387420</v>
      </c>
      <c r="J8" s="12">
        <v>850106938.33333337</v>
      </c>
      <c r="K8" s="12">
        <v>1132233606.6666667</v>
      </c>
      <c r="L8" s="12">
        <v>876326583.33333337</v>
      </c>
      <c r="M8" s="12">
        <v>990634160</v>
      </c>
      <c r="N8" s="12">
        <v>1607121273.3333335</v>
      </c>
      <c r="O8" s="12">
        <v>1591864267.5</v>
      </c>
      <c r="P8" s="12">
        <v>1850835420.0000002</v>
      </c>
      <c r="Q8" s="12">
        <v>1653042527.5</v>
      </c>
      <c r="R8" s="12">
        <v>2045047013.3333337</v>
      </c>
      <c r="S8" s="12">
        <v>1956693454.1666667</v>
      </c>
      <c r="T8" s="12">
        <v>2219069375.0000005</v>
      </c>
      <c r="U8" s="12">
        <v>2506446070</v>
      </c>
      <c r="V8" s="12">
        <v>3162475519.999999</v>
      </c>
      <c r="W8" s="12">
        <v>3553422516.666667</v>
      </c>
      <c r="X8" s="12">
        <v>3182752625</v>
      </c>
      <c r="Y8" s="12">
        <v>2658906075</v>
      </c>
      <c r="Z8" s="12">
        <v>4217142773.3333335</v>
      </c>
      <c r="AA8" s="12">
        <v>5171920126.666666</v>
      </c>
      <c r="AB8" s="12">
        <v>5463099412.499999</v>
      </c>
      <c r="AC8" s="56">
        <v>7253466233.333334</v>
      </c>
      <c r="AD8" s="56">
        <v>3930224624.6223211</v>
      </c>
      <c r="AE8" s="56">
        <v>3972479029.9872022</v>
      </c>
      <c r="AF8" s="56">
        <v>7883012846.8605156</v>
      </c>
      <c r="AG8" s="56">
        <v>7154121587.3150787</v>
      </c>
      <c r="AH8" s="56">
        <v>8401117336.5087318</v>
      </c>
      <c r="AI8" s="56">
        <v>11327646735.907143</v>
      </c>
      <c r="AJ8" s="56">
        <v>11745462720.785715</v>
      </c>
      <c r="AK8" s="56">
        <v>18756141326.763393</v>
      </c>
      <c r="AL8" s="56">
        <v>9045621757.9818459</v>
      </c>
      <c r="AM8" s="56">
        <v>8294255696.2857151</v>
      </c>
    </row>
    <row r="9" spans="1:39" s="15" customFormat="1" ht="18" customHeight="1" x14ac:dyDescent="0.45">
      <c r="A9" s="16" t="s">
        <v>10</v>
      </c>
      <c r="B9" s="17">
        <v>319.71323373599995</v>
      </c>
      <c r="C9" s="17">
        <v>7173.5637719999859</v>
      </c>
      <c r="D9" s="17">
        <v>39777.881234363544</v>
      </c>
      <c r="E9" s="17">
        <v>400192.33169090824</v>
      </c>
      <c r="F9" s="17">
        <v>9360554.0388383567</v>
      </c>
      <c r="G9" s="17">
        <v>209695162.18628272</v>
      </c>
      <c r="H9" s="17">
        <v>297825885.55555552</v>
      </c>
      <c r="I9" s="17">
        <v>275008167.00000006</v>
      </c>
      <c r="J9" s="17">
        <v>399699665.44444454</v>
      </c>
      <c r="K9" s="17">
        <v>448766798.16666669</v>
      </c>
      <c r="L9" s="17">
        <v>365702573.88888884</v>
      </c>
      <c r="M9" s="17">
        <v>298341540.66666663</v>
      </c>
      <c r="N9" s="17">
        <v>427713675.22222221</v>
      </c>
      <c r="O9" s="17">
        <v>917921772.22222209</v>
      </c>
      <c r="P9" s="17">
        <v>937562615.33333349</v>
      </c>
      <c r="Q9" s="17">
        <v>841101011.66666651</v>
      </c>
      <c r="R9" s="17">
        <v>749490530.00000012</v>
      </c>
      <c r="S9" s="17">
        <v>675737959.44444442</v>
      </c>
      <c r="T9" s="17">
        <v>755586297.00000012</v>
      </c>
      <c r="U9" s="17">
        <v>951460284.99999988</v>
      </c>
      <c r="V9" s="17">
        <v>1245800735.8333333</v>
      </c>
      <c r="W9" s="17">
        <v>1325475458.9999998</v>
      </c>
      <c r="X9" s="17">
        <v>1228247028.6666665</v>
      </c>
      <c r="Y9" s="17">
        <v>1201486194.9999995</v>
      </c>
      <c r="Z9" s="17">
        <v>1219061081</v>
      </c>
      <c r="AA9" s="17">
        <v>1047623282.3333335</v>
      </c>
      <c r="AB9" s="17">
        <v>1299584686.2222223</v>
      </c>
      <c r="AC9" s="57">
        <v>1867197478.8833337</v>
      </c>
      <c r="AD9" s="57">
        <v>1372320200.4000001</v>
      </c>
      <c r="AE9" s="57">
        <v>1968517139.0740743</v>
      </c>
      <c r="AF9" s="57">
        <v>2192472776.666667</v>
      </c>
      <c r="AG9" s="57">
        <v>3113002806.081018</v>
      </c>
      <c r="AH9" s="57">
        <v>4056632816.4833331</v>
      </c>
      <c r="AI9" s="57">
        <v>3305513830.125</v>
      </c>
      <c r="AJ9" s="57">
        <v>4117731010.7361107</v>
      </c>
      <c r="AK9" s="57">
        <v>10662205344.000002</v>
      </c>
      <c r="AL9" s="57">
        <v>11621871062.069447</v>
      </c>
      <c r="AM9" s="57">
        <v>7680636642.8000002</v>
      </c>
    </row>
    <row r="10" spans="1:39" s="15" customFormat="1" ht="18" customHeight="1" x14ac:dyDescent="0.45">
      <c r="A10" s="11" t="s">
        <v>11</v>
      </c>
      <c r="B10" s="133" t="s">
        <v>111</v>
      </c>
      <c r="C10" s="133" t="s">
        <v>111</v>
      </c>
      <c r="D10" s="133" t="s">
        <v>111</v>
      </c>
      <c r="E10" s="133" t="s">
        <v>111</v>
      </c>
      <c r="F10" s="133" t="s">
        <v>111</v>
      </c>
      <c r="G10" s="133" t="s">
        <v>111</v>
      </c>
      <c r="H10" s="133" t="s">
        <v>111</v>
      </c>
      <c r="I10" s="133" t="s">
        <v>111</v>
      </c>
      <c r="J10" s="12">
        <v>4356566262.6867266</v>
      </c>
      <c r="K10" s="12">
        <v>4618545413.7573166</v>
      </c>
      <c r="L10" s="12">
        <v>4984747133.2731934</v>
      </c>
      <c r="M10" s="12">
        <v>5210903611.9710016</v>
      </c>
      <c r="N10" s="12">
        <v>3577472432.6406512</v>
      </c>
      <c r="O10" s="12">
        <v>5650279941.0016623</v>
      </c>
      <c r="P10" s="12">
        <v>5757112332.5772972</v>
      </c>
      <c r="Q10" s="12">
        <v>8928883212.1586914</v>
      </c>
      <c r="R10" s="12">
        <v>10027936251.450491</v>
      </c>
      <c r="S10" s="12">
        <v>10736237504.986557</v>
      </c>
      <c r="T10" s="12">
        <v>9461883984.9008064</v>
      </c>
      <c r="U10" s="12">
        <v>12137077353.090998</v>
      </c>
      <c r="V10" s="12">
        <v>10703871668.090029</v>
      </c>
      <c r="W10" s="12">
        <v>15065057225.880341</v>
      </c>
      <c r="X10" s="12">
        <v>18907101491.377693</v>
      </c>
      <c r="Y10" s="12">
        <v>18366877417.128712</v>
      </c>
      <c r="Z10" s="12">
        <v>13763371834.972214</v>
      </c>
      <c r="AA10" s="12">
        <v>17370349303.372169</v>
      </c>
      <c r="AB10" s="12">
        <v>18501944323.712646</v>
      </c>
      <c r="AC10" s="56">
        <v>24327181630.658501</v>
      </c>
      <c r="AD10" s="56">
        <v>20954758773.528381</v>
      </c>
      <c r="AE10" s="56">
        <v>24413572759.221554</v>
      </c>
      <c r="AF10" s="56">
        <v>19217836678.219009</v>
      </c>
      <c r="AG10" s="56">
        <v>31057403323.670135</v>
      </c>
      <c r="AH10" s="56">
        <v>40797220655.552811</v>
      </c>
      <c r="AI10" s="56">
        <v>56207669813.527473</v>
      </c>
      <c r="AJ10" s="56">
        <v>49484490226.672928</v>
      </c>
      <c r="AK10" s="56">
        <v>75980333431.347229</v>
      </c>
      <c r="AL10" s="56">
        <v>115263642998.95834</v>
      </c>
      <c r="AM10" s="56">
        <v>116273533842.66667</v>
      </c>
    </row>
    <row r="11" spans="1:39" s="15" customFormat="1" ht="18" customHeight="1" x14ac:dyDescent="0.45">
      <c r="A11" s="16" t="s">
        <v>12</v>
      </c>
      <c r="B11" s="17">
        <v>2353.0241088000075</v>
      </c>
      <c r="C11" s="17">
        <v>71524.579080454423</v>
      </c>
      <c r="D11" s="17">
        <v>368678.70657999744</v>
      </c>
      <c r="E11" s="17">
        <v>4309202.29786772</v>
      </c>
      <c r="F11" s="17">
        <v>80333732.073618799</v>
      </c>
      <c r="G11" s="17">
        <v>2381905466.5961661</v>
      </c>
      <c r="H11" s="17">
        <v>3797002961.2424998</v>
      </c>
      <c r="I11" s="17">
        <v>4808912201.8649998</v>
      </c>
      <c r="J11" s="17">
        <v>5536550153.3708334</v>
      </c>
      <c r="K11" s="17">
        <v>5841426413.7633333</v>
      </c>
      <c r="L11" s="17">
        <v>5026077424.6000004</v>
      </c>
      <c r="M11" s="17">
        <v>6090581647.934166</v>
      </c>
      <c r="N11" s="17">
        <v>8690527172.8166656</v>
      </c>
      <c r="O11" s="17">
        <v>9529390544.0933342</v>
      </c>
      <c r="P11" s="17">
        <v>11906435540.401667</v>
      </c>
      <c r="Q11" s="17">
        <v>11815374044.65</v>
      </c>
      <c r="R11" s="17">
        <v>13402438720.125</v>
      </c>
      <c r="S11" s="17">
        <v>18720067466.974998</v>
      </c>
      <c r="T11" s="17">
        <v>20370778788.555004</v>
      </c>
      <c r="U11" s="17">
        <v>20499573531.685001</v>
      </c>
      <c r="V11" s="17">
        <v>25531217254.960831</v>
      </c>
      <c r="W11" s="17">
        <v>30248871399.374168</v>
      </c>
      <c r="X11" s="17">
        <v>39480350898.462502</v>
      </c>
      <c r="Y11" s="17">
        <v>44852809944.617493</v>
      </c>
      <c r="Z11" s="17">
        <v>49491907759.139999</v>
      </c>
      <c r="AA11" s="17">
        <v>46821674402.733337</v>
      </c>
      <c r="AB11" s="17">
        <v>47379935282.485001</v>
      </c>
      <c r="AC11" s="57">
        <v>54847764816.973335</v>
      </c>
      <c r="AD11" s="57">
        <v>67770256158.099129</v>
      </c>
      <c r="AE11" s="57">
        <v>59719437962.306778</v>
      </c>
      <c r="AF11" s="57">
        <v>57215342576.149094</v>
      </c>
      <c r="AG11" s="57">
        <v>62672959447.102455</v>
      </c>
      <c r="AH11" s="57">
        <v>83768258560.248215</v>
      </c>
      <c r="AI11" s="57">
        <v>99826459026.045578</v>
      </c>
      <c r="AJ11" s="57">
        <v>113954876456.34621</v>
      </c>
      <c r="AK11" s="57">
        <v>115947618538.12834</v>
      </c>
      <c r="AL11" s="57">
        <v>117409329407.0807</v>
      </c>
      <c r="AM11" s="57">
        <v>103895016482.39998</v>
      </c>
    </row>
    <row r="12" spans="1:39" s="15" customFormat="1" ht="18" customHeight="1" x14ac:dyDescent="0.45">
      <c r="A12" s="11" t="s">
        <v>73</v>
      </c>
      <c r="B12" s="12">
        <v>216.87585816325</v>
      </c>
      <c r="C12" s="12">
        <v>10589.449718181395</v>
      </c>
      <c r="D12" s="12">
        <v>26424.165449696655</v>
      </c>
      <c r="E12" s="12">
        <v>508536.90059454413</v>
      </c>
      <c r="F12" s="12">
        <v>5791032.2909090873</v>
      </c>
      <c r="G12" s="12">
        <v>206384299.75303018</v>
      </c>
      <c r="H12" s="12">
        <v>409917375.83333331</v>
      </c>
      <c r="I12" s="12">
        <v>200972531.66666666</v>
      </c>
      <c r="J12" s="12">
        <v>426615711.66666669</v>
      </c>
      <c r="K12" s="12">
        <v>366027973.33333325</v>
      </c>
      <c r="L12" s="12">
        <v>406997543.33333343</v>
      </c>
      <c r="M12" s="12">
        <v>471205289.99999994</v>
      </c>
      <c r="N12" s="12">
        <v>526055300</v>
      </c>
      <c r="O12" s="12">
        <v>635504480</v>
      </c>
      <c r="P12" s="12">
        <v>695888993.33333325</v>
      </c>
      <c r="Q12" s="12">
        <v>873959310</v>
      </c>
      <c r="R12" s="12">
        <v>677870050.00000012</v>
      </c>
      <c r="S12" s="12">
        <v>656128687.5</v>
      </c>
      <c r="T12" s="12">
        <v>739096876.66666687</v>
      </c>
      <c r="U12" s="12">
        <v>1299851921.666667</v>
      </c>
      <c r="V12" s="12">
        <v>1201923135</v>
      </c>
      <c r="W12" s="12">
        <v>2086440090</v>
      </c>
      <c r="X12" s="12">
        <v>892409290</v>
      </c>
      <c r="Y12" s="12">
        <v>1229499571.4291668</v>
      </c>
      <c r="Z12" s="12">
        <v>2890402300.2384262</v>
      </c>
      <c r="AA12" s="12">
        <v>3561767197.3333335</v>
      </c>
      <c r="AB12" s="12">
        <v>2880857369.1212301</v>
      </c>
      <c r="AC12" s="56">
        <v>3618382365.8888884</v>
      </c>
      <c r="AD12" s="56">
        <v>1847113309.2003965</v>
      </c>
      <c r="AE12" s="134" t="s">
        <v>111</v>
      </c>
      <c r="AF12" s="134" t="s">
        <v>111</v>
      </c>
      <c r="AG12" s="134" t="s">
        <v>111</v>
      </c>
      <c r="AH12" s="134" t="s">
        <v>111</v>
      </c>
      <c r="AI12" s="134" t="s">
        <v>111</v>
      </c>
      <c r="AJ12" s="134" t="s">
        <v>111</v>
      </c>
      <c r="AK12" s="134" t="s">
        <v>111</v>
      </c>
      <c r="AL12" s="134" t="s">
        <v>111</v>
      </c>
      <c r="AM12" s="134" t="s">
        <v>111</v>
      </c>
    </row>
    <row r="13" spans="1:39" s="15" customFormat="1" ht="18" customHeight="1" x14ac:dyDescent="0.45">
      <c r="A13" s="16" t="s">
        <v>13</v>
      </c>
      <c r="B13" s="17">
        <v>1363.3296596704165</v>
      </c>
      <c r="C13" s="17">
        <v>32225.753918483813</v>
      </c>
      <c r="D13" s="17">
        <v>180283.43097787772</v>
      </c>
      <c r="E13" s="17">
        <v>1892598.6659424205</v>
      </c>
      <c r="F13" s="17">
        <v>43549202.000757523</v>
      </c>
      <c r="G13" s="17">
        <v>1487215138.9818177</v>
      </c>
      <c r="H13" s="17">
        <v>1468173720</v>
      </c>
      <c r="I13" s="17">
        <v>1493698596.6666665</v>
      </c>
      <c r="J13" s="17">
        <v>1673376500.8333328</v>
      </c>
      <c r="K13" s="17">
        <v>2286102963.333333</v>
      </c>
      <c r="L13" s="17">
        <v>2132622633.3333335</v>
      </c>
      <c r="M13" s="17">
        <v>1884711550</v>
      </c>
      <c r="N13" s="17">
        <v>2335086418.3333335</v>
      </c>
      <c r="O13" s="17">
        <v>3518755153.333333</v>
      </c>
      <c r="P13" s="17">
        <v>4468758093.333333</v>
      </c>
      <c r="Q13" s="17">
        <v>3421948073.3333335</v>
      </c>
      <c r="R13" s="17">
        <v>3943241505</v>
      </c>
      <c r="S13" s="17">
        <v>4117596813.333333</v>
      </c>
      <c r="T13" s="17">
        <v>4138650709.9999995</v>
      </c>
      <c r="U13" s="17">
        <v>8252063361.666667</v>
      </c>
      <c r="V13" s="17">
        <v>5703763140.833333</v>
      </c>
      <c r="W13" s="17">
        <v>5435949020.833334</v>
      </c>
      <c r="X13" s="17">
        <v>5794317320</v>
      </c>
      <c r="Y13" s="17">
        <v>7229355679.999999</v>
      </c>
      <c r="Z13" s="17">
        <v>8036604221.6666651</v>
      </c>
      <c r="AA13" s="17">
        <v>7673639891.6666679</v>
      </c>
      <c r="AB13" s="17">
        <v>7835760501.666666</v>
      </c>
      <c r="AC13" s="57">
        <v>11156497890.000002</v>
      </c>
      <c r="AD13" s="57">
        <v>8255612097.8445158</v>
      </c>
      <c r="AE13" s="57">
        <v>5651089792.5113811</v>
      </c>
      <c r="AF13" s="57">
        <v>9394188124.3795967</v>
      </c>
      <c r="AG13" s="57">
        <v>11759422986.610933</v>
      </c>
      <c r="AH13" s="57">
        <v>12733782721.472197</v>
      </c>
      <c r="AI13" s="57">
        <v>15464378427.866756</v>
      </c>
      <c r="AJ13" s="57">
        <v>14980658387.613028</v>
      </c>
      <c r="AK13" s="57">
        <v>14269961744.231058</v>
      </c>
      <c r="AL13" s="57">
        <v>11806342559.770811</v>
      </c>
      <c r="AM13" s="57">
        <v>12744830103.012695</v>
      </c>
    </row>
    <row r="14" spans="1:39" s="15" customFormat="1" ht="18" customHeight="1" x14ac:dyDescent="0.45">
      <c r="A14" s="11" t="s">
        <v>74</v>
      </c>
      <c r="B14" s="12">
        <v>465.39013642133324</v>
      </c>
      <c r="C14" s="12">
        <v>13733.750886666438</v>
      </c>
      <c r="D14" s="12">
        <v>64642.659459999843</v>
      </c>
      <c r="E14" s="12">
        <v>1430556.2739999983</v>
      </c>
      <c r="F14" s="12">
        <v>31763897.805605963</v>
      </c>
      <c r="G14" s="12">
        <v>543731616.14333308</v>
      </c>
      <c r="H14" s="12">
        <v>749336993.33333337</v>
      </c>
      <c r="I14" s="12">
        <v>967575139.99999988</v>
      </c>
      <c r="J14" s="12">
        <v>1173010680</v>
      </c>
      <c r="K14" s="12">
        <v>1027551099.9999999</v>
      </c>
      <c r="L14" s="12">
        <v>1337216020.8333333</v>
      </c>
      <c r="M14" s="12">
        <v>1276848717.5</v>
      </c>
      <c r="N14" s="12">
        <v>1360148212.5</v>
      </c>
      <c r="O14" s="12">
        <v>1796428120</v>
      </c>
      <c r="P14" s="12">
        <v>2384193333.3333335</v>
      </c>
      <c r="Q14" s="12">
        <v>3837135365</v>
      </c>
      <c r="R14" s="12">
        <v>3994263928.3333335</v>
      </c>
      <c r="S14" s="12">
        <v>4145504187.500001</v>
      </c>
      <c r="T14" s="12">
        <v>4518406327.5</v>
      </c>
      <c r="U14" s="12">
        <v>4943937765</v>
      </c>
      <c r="V14" s="12">
        <v>5070589125.000001</v>
      </c>
      <c r="W14" s="12">
        <v>4399957945</v>
      </c>
      <c r="X14" s="12">
        <v>4735073397.5</v>
      </c>
      <c r="Y14" s="12">
        <v>5365841000</v>
      </c>
      <c r="Z14" s="12">
        <v>6467241482.499999</v>
      </c>
      <c r="AA14" s="12">
        <v>6954505076.666667</v>
      </c>
      <c r="AB14" s="12">
        <v>7188204562.4999981</v>
      </c>
      <c r="AC14" s="56">
        <v>5622802863.3333349</v>
      </c>
      <c r="AD14" s="134" t="s">
        <v>111</v>
      </c>
      <c r="AE14" s="134" t="s">
        <v>111</v>
      </c>
      <c r="AF14" s="134" t="s">
        <v>111</v>
      </c>
      <c r="AG14" s="134" t="s">
        <v>111</v>
      </c>
      <c r="AH14" s="134" t="s">
        <v>111</v>
      </c>
      <c r="AI14" s="134" t="s">
        <v>111</v>
      </c>
      <c r="AJ14" s="134" t="s">
        <v>111</v>
      </c>
      <c r="AK14" s="134" t="s">
        <v>111</v>
      </c>
      <c r="AL14" s="134" t="s">
        <v>111</v>
      </c>
      <c r="AM14" s="134" t="s">
        <v>111</v>
      </c>
    </row>
    <row r="15" spans="1:39" s="15" customFormat="1" ht="18" customHeight="1" x14ac:dyDescent="0.45">
      <c r="A15" s="16" t="s">
        <v>14</v>
      </c>
      <c r="B15" s="17">
        <v>1717.3046439798609</v>
      </c>
      <c r="C15" s="17">
        <v>50152.227045054133</v>
      </c>
      <c r="D15" s="17">
        <v>237183.72628517234</v>
      </c>
      <c r="E15" s="17">
        <v>2458516.7581091789</v>
      </c>
      <c r="F15" s="17">
        <v>46232654.193628974</v>
      </c>
      <c r="G15" s="17">
        <v>1384091466.9180603</v>
      </c>
      <c r="H15" s="17">
        <v>2533377129.25</v>
      </c>
      <c r="I15" s="17">
        <v>1934002176.8999999</v>
      </c>
      <c r="J15" s="17">
        <v>2580281428.625</v>
      </c>
      <c r="K15" s="17">
        <v>2926020671.8666668</v>
      </c>
      <c r="L15" s="17">
        <v>3216510279.8000002</v>
      </c>
      <c r="M15" s="17">
        <v>2324109339.4583335</v>
      </c>
      <c r="N15" s="17">
        <v>4601449691.250001</v>
      </c>
      <c r="O15" s="17">
        <v>6316805166.1458321</v>
      </c>
      <c r="P15" s="17">
        <v>6482420531.562501</v>
      </c>
      <c r="Q15" s="17">
        <v>6336355314.114583</v>
      </c>
      <c r="R15" s="17">
        <v>6412361610.833333</v>
      </c>
      <c r="S15" s="17">
        <v>7778313347.1875</v>
      </c>
      <c r="T15" s="17">
        <v>7702690430.989584</v>
      </c>
      <c r="U15" s="17">
        <v>8818141727.708334</v>
      </c>
      <c r="V15" s="17">
        <v>7864068567.7083321</v>
      </c>
      <c r="W15" s="17">
        <v>10777114762.343752</v>
      </c>
      <c r="X15" s="17">
        <v>12999978923.75</v>
      </c>
      <c r="Y15" s="17">
        <v>8176914926.3071899</v>
      </c>
      <c r="Z15" s="17">
        <v>9379218562.7799568</v>
      </c>
      <c r="AA15" s="17">
        <v>11920209635.284313</v>
      </c>
      <c r="AB15" s="17">
        <v>10776007761.234659</v>
      </c>
      <c r="AC15" s="57">
        <v>12662920328.503759</v>
      </c>
      <c r="AD15" s="57">
        <v>14210268761.668056</v>
      </c>
      <c r="AE15" s="57">
        <v>12197230167.896799</v>
      </c>
      <c r="AF15" s="57">
        <v>12940125196.989157</v>
      </c>
      <c r="AG15" s="57">
        <v>13269499011.652142</v>
      </c>
      <c r="AH15" s="57">
        <v>16523276397.118587</v>
      </c>
      <c r="AI15" s="57">
        <v>17514066558.753246</v>
      </c>
      <c r="AJ15" s="57">
        <v>20695521533.833736</v>
      </c>
      <c r="AK15" s="57">
        <v>27272737906.822578</v>
      </c>
      <c r="AL15" s="57">
        <v>24472357710.290192</v>
      </c>
      <c r="AM15" s="57">
        <v>15566734609.338612</v>
      </c>
    </row>
    <row r="16" spans="1:39" s="15" customFormat="1" ht="18" customHeight="1" x14ac:dyDescent="0.45">
      <c r="A16" s="11" t="s">
        <v>15</v>
      </c>
      <c r="B16" s="12">
        <v>32.524303345275001</v>
      </c>
      <c r="C16" s="12">
        <v>628.20415454539841</v>
      </c>
      <c r="D16" s="12">
        <v>2408.2383490908433</v>
      </c>
      <c r="E16" s="12">
        <v>22409.089018181778</v>
      </c>
      <c r="F16" s="12">
        <v>250557.14509090854</v>
      </c>
      <c r="G16" s="12">
        <v>7336662.1490909075</v>
      </c>
      <c r="H16" s="12">
        <v>7762390.8333333349</v>
      </c>
      <c r="I16" s="12">
        <v>10508775</v>
      </c>
      <c r="J16" s="12">
        <v>23711616.666666664</v>
      </c>
      <c r="K16" s="12">
        <v>3934407.5</v>
      </c>
      <c r="L16" s="12">
        <v>10618645</v>
      </c>
      <c r="M16" s="12">
        <v>50717397.5</v>
      </c>
      <c r="N16" s="12">
        <v>37897708.333333336</v>
      </c>
      <c r="O16" s="12">
        <v>32473327.500000004</v>
      </c>
      <c r="P16" s="12">
        <v>53905155</v>
      </c>
      <c r="Q16" s="12">
        <v>109724170.83333334</v>
      </c>
      <c r="R16" s="12">
        <v>112112661.66666667</v>
      </c>
      <c r="S16" s="12">
        <v>52329166.666666672</v>
      </c>
      <c r="T16" s="12">
        <v>59703049.999999993</v>
      </c>
      <c r="U16" s="12">
        <v>87940800</v>
      </c>
      <c r="V16" s="133" t="s">
        <v>111</v>
      </c>
      <c r="W16" s="133" t="s">
        <v>111</v>
      </c>
      <c r="X16" s="12">
        <v>136921543.30767196</v>
      </c>
      <c r="Y16" s="12">
        <v>33340028.756481476</v>
      </c>
      <c r="Z16" s="12">
        <v>17115329.231481481</v>
      </c>
      <c r="AA16" s="12">
        <v>51987981.371671081</v>
      </c>
      <c r="AB16" s="12">
        <v>61669266.614583336</v>
      </c>
      <c r="AC16" s="56">
        <v>44645748.425925925</v>
      </c>
      <c r="AD16" s="56">
        <v>27339745.041666668</v>
      </c>
      <c r="AE16" s="56">
        <v>47209183.375000007</v>
      </c>
      <c r="AF16" s="56">
        <v>64596399.166666664</v>
      </c>
      <c r="AG16" s="56">
        <v>89254509.833333358</v>
      </c>
      <c r="AH16" s="56">
        <v>87513427.222222224</v>
      </c>
      <c r="AI16" s="56">
        <v>125214829.44444445</v>
      </c>
      <c r="AJ16" s="56">
        <v>103161164.19444445</v>
      </c>
      <c r="AK16" s="56">
        <v>118708581.49305555</v>
      </c>
      <c r="AL16" s="56">
        <v>155630318.3712121</v>
      </c>
      <c r="AM16" s="134" t="s">
        <v>111</v>
      </c>
    </row>
    <row r="17" spans="1:61" s="15" customFormat="1" ht="18" customHeight="1" x14ac:dyDescent="0.45">
      <c r="A17" s="16" t="s">
        <v>16</v>
      </c>
      <c r="B17" s="17">
        <v>1006.9194772777499</v>
      </c>
      <c r="C17" s="17">
        <v>24801.942351000042</v>
      </c>
      <c r="D17" s="17">
        <v>140300.24866469693</v>
      </c>
      <c r="E17" s="17">
        <v>1591973.1575999998</v>
      </c>
      <c r="F17" s="17">
        <v>30765266.008600909</v>
      </c>
      <c r="G17" s="17">
        <v>657385947.94069695</v>
      </c>
      <c r="H17" s="17">
        <v>1673847620.5600002</v>
      </c>
      <c r="I17" s="17">
        <v>1359584037.8374996</v>
      </c>
      <c r="J17" s="17">
        <v>1530449248.9416666</v>
      </c>
      <c r="K17" s="17">
        <v>1446695294.7958331</v>
      </c>
      <c r="L17" s="17">
        <v>1698478984.6500001</v>
      </c>
      <c r="M17" s="17">
        <v>1793490900.7166669</v>
      </c>
      <c r="N17" s="17">
        <v>1560542105.9216666</v>
      </c>
      <c r="O17" s="17">
        <v>1809194201.4699996</v>
      </c>
      <c r="P17" s="17">
        <v>3121548195.4799995</v>
      </c>
      <c r="Q17" s="17">
        <v>4500963456.3891678</v>
      </c>
      <c r="R17" s="17">
        <v>4460615666.1625004</v>
      </c>
      <c r="S17" s="17">
        <v>4344290240.04</v>
      </c>
      <c r="T17" s="17">
        <v>4253138829.3333335</v>
      </c>
      <c r="U17" s="17">
        <v>5078383957.0199995</v>
      </c>
      <c r="V17" s="17">
        <v>5169718998.3891668</v>
      </c>
      <c r="W17" s="17">
        <v>5697002731.2366667</v>
      </c>
      <c r="X17" s="17">
        <v>5869390705.4433336</v>
      </c>
      <c r="Y17" s="17">
        <v>5645916465</v>
      </c>
      <c r="Z17" s="17">
        <v>6411535177.7400017</v>
      </c>
      <c r="AA17" s="17">
        <v>7203277316.8133335</v>
      </c>
      <c r="AB17" s="17">
        <v>6840507460.2400007</v>
      </c>
      <c r="AC17" s="57">
        <v>6335032583.3275003</v>
      </c>
      <c r="AD17" s="57">
        <v>11981538798.777378</v>
      </c>
      <c r="AE17" s="57">
        <v>9571926482.0574131</v>
      </c>
      <c r="AF17" s="57">
        <v>8328214328.984766</v>
      </c>
      <c r="AG17" s="57">
        <v>9371144091.7869492</v>
      </c>
      <c r="AH17" s="57">
        <v>11242296737.796091</v>
      </c>
      <c r="AI17" s="57">
        <v>14629240730.035128</v>
      </c>
      <c r="AJ17" s="57">
        <v>20276058784.365215</v>
      </c>
      <c r="AK17" s="57">
        <v>18732187390.679066</v>
      </c>
      <c r="AL17" s="57">
        <v>19875144053.682281</v>
      </c>
      <c r="AM17" s="57">
        <v>25120639513.132141</v>
      </c>
    </row>
    <row r="18" spans="1:61" s="15" customFormat="1" ht="18" customHeight="1" x14ac:dyDescent="0.45">
      <c r="A18" s="11" t="s">
        <v>17</v>
      </c>
      <c r="B18" s="12">
        <v>2852.3663825664498</v>
      </c>
      <c r="C18" s="12">
        <v>72582.43159998933</v>
      </c>
      <c r="D18" s="12">
        <v>408414.72636362369</v>
      </c>
      <c r="E18" s="12">
        <v>5321377.8625090746</v>
      </c>
      <c r="F18" s="12">
        <v>120037644.31821188</v>
      </c>
      <c r="G18" s="12">
        <v>2598222421.212121</v>
      </c>
      <c r="H18" s="12">
        <v>4080031987.5</v>
      </c>
      <c r="I18" s="12">
        <v>4274944035.8333335</v>
      </c>
      <c r="J18" s="12">
        <v>4118505500</v>
      </c>
      <c r="K18" s="12">
        <v>4242917930</v>
      </c>
      <c r="L18" s="12">
        <v>5480711430</v>
      </c>
      <c r="M18" s="12">
        <v>6518068333.333334</v>
      </c>
      <c r="N18" s="12">
        <v>6818902187.499999</v>
      </c>
      <c r="O18" s="12">
        <v>9374567013.3333321</v>
      </c>
      <c r="P18" s="12">
        <v>15303652283.333336</v>
      </c>
      <c r="Q18" s="12">
        <v>12640736295</v>
      </c>
      <c r="R18" s="12">
        <v>10124338293.333334</v>
      </c>
      <c r="S18" s="12">
        <v>11198690212.5</v>
      </c>
      <c r="T18" s="12">
        <v>17414165847.500004</v>
      </c>
      <c r="U18" s="12">
        <v>23327783187.5</v>
      </c>
      <c r="V18" s="12">
        <v>16061276966.666666</v>
      </c>
      <c r="W18" s="12">
        <v>16563144407.499998</v>
      </c>
      <c r="X18" s="12">
        <v>23980284579.16666</v>
      </c>
      <c r="Y18" s="12">
        <v>31449718425.000004</v>
      </c>
      <c r="Z18" s="12">
        <v>34985724130</v>
      </c>
      <c r="AA18" s="12">
        <v>34946499875</v>
      </c>
      <c r="AB18" s="12">
        <v>39230941760.000008</v>
      </c>
      <c r="AC18" s="56">
        <v>41105237804.999992</v>
      </c>
      <c r="AD18" s="56">
        <v>47649322971.041962</v>
      </c>
      <c r="AE18" s="56">
        <v>46151037062.077347</v>
      </c>
      <c r="AF18" s="56">
        <v>61747463001.072777</v>
      </c>
      <c r="AG18" s="56">
        <v>88095577275.230515</v>
      </c>
      <c r="AH18" s="56">
        <v>121832070461.15495</v>
      </c>
      <c r="AI18" s="56">
        <v>150831317479.11649</v>
      </c>
      <c r="AJ18" s="56">
        <v>143517024928.7886</v>
      </c>
      <c r="AK18" s="56">
        <v>120740174165.53232</v>
      </c>
      <c r="AL18" s="56">
        <v>167095433850.93494</v>
      </c>
      <c r="AM18" s="56">
        <v>154625840277.31018</v>
      </c>
    </row>
    <row r="19" spans="1:61" s="15" customFormat="1" ht="18" customHeight="1" x14ac:dyDescent="0.45">
      <c r="A19" s="16" t="s">
        <v>75</v>
      </c>
      <c r="B19" s="17">
        <v>90.660552255166664</v>
      </c>
      <c r="C19" s="17">
        <v>1656.1754999999605</v>
      </c>
      <c r="D19" s="17">
        <v>6823.3121981817831</v>
      </c>
      <c r="E19" s="17">
        <v>29019.177773939318</v>
      </c>
      <c r="F19" s="17">
        <v>940374.28545454412</v>
      </c>
      <c r="G19" s="17">
        <v>30980989.875757571</v>
      </c>
      <c r="H19" s="17">
        <v>52950170.000000007</v>
      </c>
      <c r="I19" s="17">
        <v>49204155</v>
      </c>
      <c r="J19" s="17">
        <v>72033245.000000015</v>
      </c>
      <c r="K19" s="17">
        <v>98788458.333333343</v>
      </c>
      <c r="L19" s="17">
        <v>161324928.33333331</v>
      </c>
      <c r="M19" s="17">
        <v>256546025.00000003</v>
      </c>
      <c r="N19" s="17">
        <v>148665100.00000003</v>
      </c>
      <c r="O19" s="17">
        <v>192168640</v>
      </c>
      <c r="P19" s="17">
        <v>247228962.49999994</v>
      </c>
      <c r="Q19" s="17">
        <v>197728999.99999997</v>
      </c>
      <c r="R19" s="17">
        <v>219573968.33333334</v>
      </c>
      <c r="S19" s="17">
        <v>211364940</v>
      </c>
      <c r="T19" s="17">
        <v>265001275.00000003</v>
      </c>
      <c r="U19" s="17">
        <v>284373999.99999994</v>
      </c>
      <c r="V19" s="17">
        <v>250287488.57142857</v>
      </c>
      <c r="W19" s="17">
        <v>276326100</v>
      </c>
      <c r="X19" s="17">
        <v>369407974.99999994</v>
      </c>
      <c r="Y19" s="17">
        <v>439373816.66666675</v>
      </c>
      <c r="Z19" s="17">
        <v>469733720</v>
      </c>
      <c r="AA19" s="17">
        <v>678329584.16666675</v>
      </c>
      <c r="AB19" s="17">
        <v>1260002741.3888888</v>
      </c>
      <c r="AC19" s="57">
        <v>1334117325</v>
      </c>
      <c r="AD19" s="57">
        <v>1347923038.8888888</v>
      </c>
      <c r="AE19" s="135" t="s">
        <v>111</v>
      </c>
      <c r="AF19" s="135" t="s">
        <v>111</v>
      </c>
      <c r="AG19" s="135" t="s">
        <v>111</v>
      </c>
      <c r="AH19" s="135" t="s">
        <v>111</v>
      </c>
      <c r="AI19" s="135" t="s">
        <v>111</v>
      </c>
      <c r="AJ19" s="135" t="s">
        <v>111</v>
      </c>
      <c r="AK19" s="135" t="s">
        <v>111</v>
      </c>
      <c r="AL19" s="135" t="s">
        <v>111</v>
      </c>
      <c r="AM19" s="135" t="s">
        <v>111</v>
      </c>
    </row>
    <row r="20" spans="1:61" s="15" customFormat="1" ht="18" customHeight="1" x14ac:dyDescent="0.45">
      <c r="A20" s="11" t="s">
        <v>18</v>
      </c>
      <c r="B20" s="12">
        <v>4190.8228309800661</v>
      </c>
      <c r="C20" s="12">
        <v>76009.611279993362</v>
      </c>
      <c r="D20" s="12">
        <v>359186.33518181124</v>
      </c>
      <c r="E20" s="12">
        <v>5352226.9645605981</v>
      </c>
      <c r="F20" s="12">
        <v>136055876.44272679</v>
      </c>
      <c r="G20" s="12">
        <v>3030645502.014544</v>
      </c>
      <c r="H20" s="12">
        <v>4152026314.9999995</v>
      </c>
      <c r="I20" s="12">
        <v>5366992476.6666651</v>
      </c>
      <c r="J20" s="12">
        <v>7082023993.333334</v>
      </c>
      <c r="K20" s="12">
        <v>7044174000</v>
      </c>
      <c r="L20" s="12">
        <v>8160035346.6666679</v>
      </c>
      <c r="M20" s="12">
        <v>9381286098.333334</v>
      </c>
      <c r="N20" s="12">
        <v>13425487562.5</v>
      </c>
      <c r="O20" s="12">
        <v>21123988363.333336</v>
      </c>
      <c r="P20" s="12">
        <v>32016987999.999996</v>
      </c>
      <c r="Q20" s="12">
        <v>32744252677.499996</v>
      </c>
      <c r="R20" s="12">
        <v>24780654161.666664</v>
      </c>
      <c r="S20" s="12">
        <v>22035148800.000004</v>
      </c>
      <c r="T20" s="12">
        <v>29362514789.999996</v>
      </c>
      <c r="U20" s="12">
        <v>42631087312.5</v>
      </c>
      <c r="V20" s="12">
        <v>42101067951.666656</v>
      </c>
      <c r="W20" s="12">
        <v>43545683900</v>
      </c>
      <c r="X20" s="12">
        <v>52744890135</v>
      </c>
      <c r="Y20" s="12">
        <v>65300116524.999992</v>
      </c>
      <c r="Z20" s="12">
        <v>81996891923.333344</v>
      </c>
      <c r="AA20" s="12">
        <v>87483524333.333328</v>
      </c>
      <c r="AB20" s="12">
        <v>102825507480</v>
      </c>
      <c r="AC20" s="56">
        <v>114031358828.33334</v>
      </c>
      <c r="AD20" s="56">
        <v>117564168223.70663</v>
      </c>
      <c r="AE20" s="56">
        <v>139435902508.3494</v>
      </c>
      <c r="AF20" s="56">
        <v>133664023349.15105</v>
      </c>
      <c r="AG20" s="56">
        <v>215847331971.2728</v>
      </c>
      <c r="AH20" s="56">
        <v>350531791377.44531</v>
      </c>
      <c r="AI20" s="56">
        <v>340041241956.79907</v>
      </c>
      <c r="AJ20" s="56">
        <v>335502885098.81482</v>
      </c>
      <c r="AK20" s="56">
        <v>287229399506.56409</v>
      </c>
      <c r="AL20" s="56">
        <v>331006440879.55585</v>
      </c>
      <c r="AM20" s="56">
        <v>342093144170.19611</v>
      </c>
    </row>
    <row r="21" spans="1:61" s="15" customFormat="1" ht="18" customHeight="1" x14ac:dyDescent="0.45">
      <c r="A21" s="16" t="s">
        <v>19</v>
      </c>
      <c r="B21" s="17">
        <v>576.24783106375003</v>
      </c>
      <c r="C21" s="17">
        <v>20187.522692726157</v>
      </c>
      <c r="D21" s="17">
        <v>83995.0837824232</v>
      </c>
      <c r="E21" s="17">
        <v>712176.95570151415</v>
      </c>
      <c r="F21" s="17">
        <v>17110587.095151484</v>
      </c>
      <c r="G21" s="17">
        <v>712817305.22727263</v>
      </c>
      <c r="H21" s="17">
        <v>1040756133.3333333</v>
      </c>
      <c r="I21" s="17">
        <v>913776314.99999988</v>
      </c>
      <c r="J21" s="17">
        <v>867483829.16666663</v>
      </c>
      <c r="K21" s="17">
        <v>1136845325.0000002</v>
      </c>
      <c r="L21" s="17">
        <v>1275199615.8333335</v>
      </c>
      <c r="M21" s="17">
        <v>1317102685</v>
      </c>
      <c r="N21" s="17">
        <v>1337032225.833333</v>
      </c>
      <c r="O21" s="17">
        <v>1838637909.9999998</v>
      </c>
      <c r="P21" s="17">
        <v>2682555446.6666665</v>
      </c>
      <c r="Q21" s="17">
        <v>3216743805</v>
      </c>
      <c r="R21" s="17">
        <v>3228529755</v>
      </c>
      <c r="S21" s="17">
        <v>2847047900</v>
      </c>
      <c r="T21" s="17">
        <v>3342591840</v>
      </c>
      <c r="U21" s="17">
        <v>4122275620.8333325</v>
      </c>
      <c r="V21" s="17">
        <v>4978600935</v>
      </c>
      <c r="W21" s="17">
        <v>5229383906.666667</v>
      </c>
      <c r="X21" s="17">
        <v>6231159863.3333321</v>
      </c>
      <c r="Y21" s="17">
        <v>6188691037.5</v>
      </c>
      <c r="Z21" s="17">
        <v>12500123310</v>
      </c>
      <c r="AA21" s="17">
        <v>13833428054.999998</v>
      </c>
      <c r="AB21" s="17">
        <v>13711322700.833332</v>
      </c>
      <c r="AC21" s="57">
        <v>8613382594.1666679</v>
      </c>
      <c r="AD21" s="57">
        <v>8215368644.5347319</v>
      </c>
      <c r="AE21" s="57">
        <v>9184786252.9714222</v>
      </c>
      <c r="AF21" s="57">
        <v>10053006182.868132</v>
      </c>
      <c r="AG21" s="57">
        <v>9871270697.1446228</v>
      </c>
      <c r="AH21" s="57">
        <v>11082141923.274132</v>
      </c>
      <c r="AI21" s="57">
        <v>15055298052.156775</v>
      </c>
      <c r="AJ21" s="57">
        <v>17874340707.435989</v>
      </c>
      <c r="AK21" s="57">
        <v>19746399199.713196</v>
      </c>
      <c r="AL21" s="57">
        <v>20635835816.15976</v>
      </c>
      <c r="AM21" s="57">
        <v>17412295669.308109</v>
      </c>
    </row>
    <row r="22" spans="1:61" s="15" customFormat="1" ht="18" customHeight="1" x14ac:dyDescent="0.45">
      <c r="A22" s="11" t="s">
        <v>20</v>
      </c>
      <c r="B22" s="12">
        <v>759.25805036960014</v>
      </c>
      <c r="C22" s="12">
        <v>9563.5642396953062</v>
      </c>
      <c r="D22" s="12">
        <v>44422.330404241293</v>
      </c>
      <c r="E22" s="12">
        <v>582034.18493999902</v>
      </c>
      <c r="F22" s="12">
        <v>8418462.6929090656</v>
      </c>
      <c r="G22" s="12">
        <v>179347026.81999996</v>
      </c>
      <c r="H22" s="12">
        <v>217298391.66666672</v>
      </c>
      <c r="I22" s="12">
        <v>622883649.16666675</v>
      </c>
      <c r="J22" s="12">
        <v>373360500</v>
      </c>
      <c r="K22" s="12">
        <v>348043206.66666657</v>
      </c>
      <c r="L22" s="12">
        <v>484165013.33333331</v>
      </c>
      <c r="M22" s="12">
        <v>373921600.00000006</v>
      </c>
      <c r="N22" s="12">
        <v>844455249.16666651</v>
      </c>
      <c r="O22" s="12">
        <v>1156857605</v>
      </c>
      <c r="P22" s="12">
        <v>2799842500</v>
      </c>
      <c r="Q22" s="12">
        <v>2385726860</v>
      </c>
      <c r="R22" s="12">
        <v>1611164874.9999998</v>
      </c>
      <c r="S22" s="12">
        <v>844848320.00000012</v>
      </c>
      <c r="T22" s="12">
        <v>1817041841.6666663</v>
      </c>
      <c r="U22" s="12">
        <v>3068814200.8333325</v>
      </c>
      <c r="V22" s="12">
        <v>2161236937.5</v>
      </c>
      <c r="W22" s="12">
        <v>2555926041.6666675</v>
      </c>
      <c r="X22" s="12">
        <v>2389818060</v>
      </c>
      <c r="Y22" s="12">
        <v>3035735808.7874999</v>
      </c>
      <c r="Z22" s="12">
        <v>4295947734.3254929</v>
      </c>
      <c r="AA22" s="12">
        <v>3869218690.7101841</v>
      </c>
      <c r="AB22" s="12">
        <v>3407161389.3887672</v>
      </c>
      <c r="AC22" s="56">
        <v>4914879704.0939531</v>
      </c>
      <c r="AD22" s="56">
        <v>2521762701.6236076</v>
      </c>
      <c r="AE22" s="56">
        <v>4298643280.3254786</v>
      </c>
      <c r="AF22" s="56">
        <v>4358302328.6542864</v>
      </c>
      <c r="AG22" s="56">
        <v>7156266204.7295094</v>
      </c>
      <c r="AH22" s="56">
        <v>11964887812.116203</v>
      </c>
      <c r="AI22" s="56">
        <v>18570259052.415653</v>
      </c>
      <c r="AJ22" s="56">
        <v>10435788683.76499</v>
      </c>
      <c r="AK22" s="56">
        <v>10130531832.605</v>
      </c>
      <c r="AL22" s="56">
        <v>10463357448.610832</v>
      </c>
      <c r="AM22" s="56">
        <v>8615311173.3999996</v>
      </c>
    </row>
    <row r="23" spans="1:61" s="15" customFormat="1" ht="18" customHeight="1" x14ac:dyDescent="0.45">
      <c r="A23" s="16" t="s">
        <v>21</v>
      </c>
      <c r="B23" s="17">
        <v>161.66987004653333</v>
      </c>
      <c r="C23" s="17">
        <v>5279.5613109085971</v>
      </c>
      <c r="D23" s="17">
        <v>11847.289880605813</v>
      </c>
      <c r="E23" s="17">
        <v>28636.008479999869</v>
      </c>
      <c r="F23" s="17">
        <v>892941.22045454418</v>
      </c>
      <c r="G23" s="17">
        <v>82238570.909090906</v>
      </c>
      <c r="H23" s="17">
        <v>235626841.66666669</v>
      </c>
      <c r="I23" s="17">
        <v>112438078.33333333</v>
      </c>
      <c r="J23" s="17">
        <v>203378326.66666663</v>
      </c>
      <c r="K23" s="17">
        <v>677558000</v>
      </c>
      <c r="L23" s="17">
        <v>624105000</v>
      </c>
      <c r="M23" s="17">
        <v>280025080.00000006</v>
      </c>
      <c r="N23" s="17">
        <v>639381715.99999988</v>
      </c>
      <c r="O23" s="17">
        <v>685359973.33333325</v>
      </c>
      <c r="P23" s="17">
        <v>1097665623.3333333</v>
      </c>
      <c r="Q23" s="17">
        <v>2214720130</v>
      </c>
      <c r="R23" s="17">
        <v>955237099.99999976</v>
      </c>
      <c r="S23" s="17">
        <v>849565753.33333325</v>
      </c>
      <c r="T23" s="17">
        <v>1984182900.0000005</v>
      </c>
      <c r="U23" s="17">
        <v>1089763766.6666665</v>
      </c>
      <c r="V23" s="17">
        <v>3540718162.9999995</v>
      </c>
      <c r="W23" s="17">
        <v>2997827911.6666665</v>
      </c>
      <c r="X23" s="17">
        <v>4420594933.333333</v>
      </c>
      <c r="Y23" s="17">
        <v>3932085266.666667</v>
      </c>
      <c r="Z23" s="17">
        <v>3646130794.7023811</v>
      </c>
      <c r="AA23" s="17">
        <v>3982047639.52877</v>
      </c>
      <c r="AB23" s="17">
        <v>3551184426.7777781</v>
      </c>
      <c r="AC23" s="57">
        <v>3409495636.2638884</v>
      </c>
      <c r="AD23" s="57">
        <v>5676414242.2222223</v>
      </c>
      <c r="AE23" s="57">
        <v>5113339859.3253975</v>
      </c>
      <c r="AF23" s="57">
        <v>5290465656.7063494</v>
      </c>
      <c r="AG23" s="57">
        <v>5216238797.7288361</v>
      </c>
      <c r="AH23" s="57">
        <v>6504821173.795352</v>
      </c>
      <c r="AI23" s="57">
        <v>6550124638.9399099</v>
      </c>
      <c r="AJ23" s="57">
        <v>7648267672.7576208</v>
      </c>
      <c r="AK23" s="57">
        <v>10776290008.545919</v>
      </c>
      <c r="AL23" s="57">
        <v>12780014786.775509</v>
      </c>
      <c r="AM23" s="57">
        <v>10577143007.999998</v>
      </c>
    </row>
    <row r="24" spans="1:61" s="15" customFormat="1" ht="18" customHeight="1" x14ac:dyDescent="0.45">
      <c r="A24" s="11" t="s">
        <v>76</v>
      </c>
      <c r="B24" s="133" t="s">
        <v>111</v>
      </c>
      <c r="C24" s="133" t="s">
        <v>111</v>
      </c>
      <c r="D24" s="133" t="s">
        <v>111</v>
      </c>
      <c r="E24" s="133" t="s">
        <v>111</v>
      </c>
      <c r="F24" s="133" t="s">
        <v>111</v>
      </c>
      <c r="G24" s="133" t="s">
        <v>111</v>
      </c>
      <c r="H24" s="133" t="s">
        <v>111</v>
      </c>
      <c r="I24" s="133" t="s">
        <v>111</v>
      </c>
      <c r="J24" s="133" t="s">
        <v>111</v>
      </c>
      <c r="K24" s="133" t="s">
        <v>111</v>
      </c>
      <c r="L24" s="133" t="s">
        <v>111</v>
      </c>
      <c r="M24" s="133" t="s">
        <v>111</v>
      </c>
      <c r="N24" s="133" t="s">
        <v>111</v>
      </c>
      <c r="O24" s="133" t="s">
        <v>111</v>
      </c>
      <c r="P24" s="133" t="s">
        <v>111</v>
      </c>
      <c r="Q24" s="133" t="s">
        <v>111</v>
      </c>
      <c r="R24" s="133" t="s">
        <v>111</v>
      </c>
      <c r="S24" s="133" t="s">
        <v>111</v>
      </c>
      <c r="T24" s="133" t="s">
        <v>111</v>
      </c>
      <c r="U24" s="133" t="s">
        <v>111</v>
      </c>
      <c r="V24" s="133" t="s">
        <v>111</v>
      </c>
      <c r="W24" s="133" t="s">
        <v>111</v>
      </c>
      <c r="X24" s="12">
        <v>2436234762.7025466</v>
      </c>
      <c r="Y24" s="12">
        <v>2758284559.4675927</v>
      </c>
      <c r="Z24" s="12">
        <v>3182991664.7222223</v>
      </c>
      <c r="AA24" s="12">
        <v>3742482424.7569442</v>
      </c>
      <c r="AB24" s="12">
        <v>3477880634.4898725</v>
      </c>
      <c r="AC24" s="56">
        <v>4277024568.885994</v>
      </c>
      <c r="AD24" s="56">
        <v>3389483478.8541665</v>
      </c>
      <c r="AE24" s="134" t="s">
        <v>111</v>
      </c>
      <c r="AF24" s="134" t="s">
        <v>111</v>
      </c>
      <c r="AG24" s="134" t="s">
        <v>111</v>
      </c>
      <c r="AH24" s="134" t="s">
        <v>111</v>
      </c>
      <c r="AI24" s="134" t="s">
        <v>111</v>
      </c>
      <c r="AJ24" s="134" t="s">
        <v>111</v>
      </c>
      <c r="AK24" s="134" t="s">
        <v>111</v>
      </c>
      <c r="AL24" s="134" t="s">
        <v>111</v>
      </c>
      <c r="AM24" s="134" t="s">
        <v>111</v>
      </c>
    </row>
    <row r="25" spans="1:61" s="10" customFormat="1" ht="18" customHeight="1" thickBot="1" x14ac:dyDescent="0.5">
      <c r="A25" s="38" t="s">
        <v>22</v>
      </c>
      <c r="B25" s="58">
        <v>20003.977528092888</v>
      </c>
      <c r="C25" s="58">
        <v>501496.50269906386</v>
      </c>
      <c r="D25" s="58">
        <v>2567282.3341132537</v>
      </c>
      <c r="E25" s="58">
        <v>30237211.392060481</v>
      </c>
      <c r="F25" s="58">
        <v>643421398.82351613</v>
      </c>
      <c r="G25" s="58">
        <v>16989638087.887781</v>
      </c>
      <c r="H25" s="58">
        <v>26506670622.808056</v>
      </c>
      <c r="I25" s="58">
        <v>27098747901.11916</v>
      </c>
      <c r="J25" s="58">
        <v>35360524315.035332</v>
      </c>
      <c r="K25" s="58">
        <v>38242981935.683151</v>
      </c>
      <c r="L25" s="58">
        <v>42556294262.837082</v>
      </c>
      <c r="M25" s="58">
        <v>44706094265.480171</v>
      </c>
      <c r="N25" s="58">
        <v>54805521727.726196</v>
      </c>
      <c r="O25" s="58">
        <v>74308056104.724716</v>
      </c>
      <c r="P25" s="58">
        <v>103566211602.64645</v>
      </c>
      <c r="Q25" s="58">
        <v>112473809108.14578</v>
      </c>
      <c r="R25" s="58">
        <v>100764207161.07132</v>
      </c>
      <c r="S25" s="58">
        <v>103128647135.80016</v>
      </c>
      <c r="T25" s="58">
        <v>122383416007.9454</v>
      </c>
      <c r="U25" s="58">
        <v>156309996372.00433</v>
      </c>
      <c r="V25" s="58">
        <v>151133513786.5531</v>
      </c>
      <c r="W25" s="58">
        <v>165484539209.41824</v>
      </c>
      <c r="X25" s="58">
        <v>208567857521.61877</v>
      </c>
      <c r="Y25" s="58">
        <v>233056209408.33224</v>
      </c>
      <c r="Z25" s="58">
        <v>268988639107.37967</v>
      </c>
      <c r="AA25" s="58">
        <v>287055688698.35046</v>
      </c>
      <c r="AB25" s="58">
        <v>307978959401.55859</v>
      </c>
      <c r="AC25" s="59">
        <v>343654585170.26624</v>
      </c>
      <c r="AD25" s="59">
        <v>348404585999.94434</v>
      </c>
      <c r="AE25" s="59">
        <v>356106468991.68298</v>
      </c>
      <c r="AF25" s="59">
        <v>372208566423.16528</v>
      </c>
      <c r="AG25" s="59">
        <v>512924874673.34137</v>
      </c>
      <c r="AH25" s="59">
        <v>740014698422.64014</v>
      </c>
      <c r="AI25" s="59">
        <v>820719370751.53918</v>
      </c>
      <c r="AJ25" s="59">
        <v>823092906044.12817</v>
      </c>
      <c r="AK25" s="59">
        <v>812730498402.21021</v>
      </c>
      <c r="AL25" s="59">
        <v>935884019298.0769</v>
      </c>
      <c r="AM25" s="59">
        <v>895311371195.25684</v>
      </c>
    </row>
    <row r="26" spans="1:61" s="15" customFormat="1" ht="18" customHeight="1" thickTop="1" x14ac:dyDescent="0.45">
      <c r="A26" s="11" t="s">
        <v>23</v>
      </c>
      <c r="B26" s="133" t="s">
        <v>111</v>
      </c>
      <c r="C26" s="133" t="s">
        <v>111</v>
      </c>
      <c r="D26" s="133" t="s">
        <v>111</v>
      </c>
      <c r="E26" s="133" t="s">
        <v>111</v>
      </c>
      <c r="F26" s="133" t="s">
        <v>111</v>
      </c>
      <c r="G26" s="133" t="s">
        <v>111</v>
      </c>
      <c r="H26" s="133" t="s">
        <v>111</v>
      </c>
      <c r="I26" s="133" t="s">
        <v>111</v>
      </c>
      <c r="J26" s="133" t="s">
        <v>111</v>
      </c>
      <c r="K26" s="133" t="s">
        <v>111</v>
      </c>
      <c r="L26" s="133" t="s">
        <v>111</v>
      </c>
      <c r="M26" s="12">
        <v>9528077066.9223347</v>
      </c>
      <c r="N26" s="12">
        <v>11623668190.979557</v>
      </c>
      <c r="O26" s="12">
        <v>14000669169.183111</v>
      </c>
      <c r="P26" s="12">
        <v>17351671144.046219</v>
      </c>
      <c r="Q26" s="12">
        <v>21358176099.713997</v>
      </c>
      <c r="R26" s="12">
        <v>21972723842.379448</v>
      </c>
      <c r="S26" s="12">
        <v>23206637350.546661</v>
      </c>
      <c r="T26" s="12">
        <v>26501870249.194</v>
      </c>
      <c r="U26" s="12">
        <v>32547734017.182217</v>
      </c>
      <c r="V26" s="12">
        <v>32785225313.364002</v>
      </c>
      <c r="W26" s="12">
        <v>36493406158.701332</v>
      </c>
      <c r="X26" s="12">
        <v>41866859441.221001</v>
      </c>
      <c r="Y26" s="12">
        <v>45031085620.975052</v>
      </c>
      <c r="Z26" s="12">
        <v>51765663445.425827</v>
      </c>
      <c r="AA26" s="12">
        <v>62657528240.711433</v>
      </c>
      <c r="AB26" s="12">
        <v>69286801122.607681</v>
      </c>
      <c r="AC26" s="56">
        <v>71464769584.992508</v>
      </c>
      <c r="AD26" s="56">
        <v>70805693671.43248</v>
      </c>
      <c r="AE26" s="56">
        <v>75424574100.887955</v>
      </c>
      <c r="AF26" s="56">
        <v>85646670013.813812</v>
      </c>
      <c r="AG26" s="56">
        <v>111058727376.14902</v>
      </c>
      <c r="AH26" s="56">
        <v>144163517069.3277</v>
      </c>
      <c r="AI26" s="56">
        <v>155137778061.66055</v>
      </c>
      <c r="AJ26" s="56">
        <v>142735738379.12747</v>
      </c>
      <c r="AK26" s="56">
        <v>164409483637.45074</v>
      </c>
      <c r="AL26" s="56">
        <v>212710993975.32352</v>
      </c>
      <c r="AM26" s="56">
        <v>218700052666.68539</v>
      </c>
    </row>
    <row r="27" spans="1:61" s="15" customFormat="1" ht="18" customHeight="1" x14ac:dyDescent="0.45">
      <c r="A27" s="16" t="s">
        <v>24</v>
      </c>
      <c r="B27" s="136" t="s">
        <v>111</v>
      </c>
      <c r="C27" s="136" t="s">
        <v>111</v>
      </c>
      <c r="D27" s="136" t="s">
        <v>111</v>
      </c>
      <c r="E27" s="136" t="s">
        <v>111</v>
      </c>
      <c r="F27" s="136" t="s">
        <v>111</v>
      </c>
      <c r="G27" s="136" t="s">
        <v>111</v>
      </c>
      <c r="H27" s="136" t="s">
        <v>111</v>
      </c>
      <c r="I27" s="136" t="s">
        <v>111</v>
      </c>
      <c r="J27" s="136" t="s">
        <v>111</v>
      </c>
      <c r="K27" s="136" t="s">
        <v>111</v>
      </c>
      <c r="L27" s="136" t="s">
        <v>111</v>
      </c>
      <c r="M27" s="17">
        <v>1725204033.1594996</v>
      </c>
      <c r="N27" s="17">
        <v>2284215775.0169444</v>
      </c>
      <c r="O27" s="17">
        <v>2657295186.1386671</v>
      </c>
      <c r="P27" s="17">
        <v>3487387766.6083336</v>
      </c>
      <c r="Q27" s="17">
        <v>4289558230.16539</v>
      </c>
      <c r="R27" s="17">
        <v>5270049800.4855566</v>
      </c>
      <c r="S27" s="17">
        <v>4715737071.9379997</v>
      </c>
      <c r="T27" s="17">
        <v>5298829008.4466658</v>
      </c>
      <c r="U27" s="17">
        <v>6979076771.2855549</v>
      </c>
      <c r="V27" s="17">
        <v>7181158444.8793316</v>
      </c>
      <c r="W27" s="17">
        <v>8340620933.5543871</v>
      </c>
      <c r="X27" s="17">
        <v>9065576926.9771671</v>
      </c>
      <c r="Y27" s="17">
        <v>9020990194.3607216</v>
      </c>
      <c r="Z27" s="17">
        <v>11080205984.706665</v>
      </c>
      <c r="AA27" s="17">
        <v>12261693232.152777</v>
      </c>
      <c r="AB27" s="17">
        <v>14008258657.918833</v>
      </c>
      <c r="AC27" s="57">
        <v>14244958363.264997</v>
      </c>
      <c r="AD27" s="57">
        <v>21439690781.512444</v>
      </c>
      <c r="AE27" s="57">
        <v>18050485498.68634</v>
      </c>
      <c r="AF27" s="57">
        <v>23696670450.911461</v>
      </c>
      <c r="AG27" s="57">
        <v>36014600708.029518</v>
      </c>
      <c r="AH27" s="57">
        <v>42590962426.971062</v>
      </c>
      <c r="AI27" s="57">
        <v>40983197713.475105</v>
      </c>
      <c r="AJ27" s="57">
        <v>45188061658.707756</v>
      </c>
      <c r="AK27" s="57">
        <v>53948446945.811607</v>
      </c>
      <c r="AL27" s="57">
        <v>63389842116.049019</v>
      </c>
      <c r="AM27" s="57">
        <v>60348533394.317467</v>
      </c>
    </row>
    <row r="28" spans="1:61" s="15" customFormat="1" ht="18" customHeight="1" x14ac:dyDescent="0.45">
      <c r="A28" s="11" t="s">
        <v>25</v>
      </c>
      <c r="B28" s="133" t="s">
        <v>111</v>
      </c>
      <c r="C28" s="133" t="s">
        <v>111</v>
      </c>
      <c r="D28" s="133" t="s">
        <v>111</v>
      </c>
      <c r="E28" s="133" t="s">
        <v>111</v>
      </c>
      <c r="F28" s="133" t="s">
        <v>111</v>
      </c>
      <c r="G28" s="133" t="s">
        <v>111</v>
      </c>
      <c r="H28" s="133" t="s">
        <v>111</v>
      </c>
      <c r="I28" s="133" t="s">
        <v>111</v>
      </c>
      <c r="J28" s="133" t="s">
        <v>111</v>
      </c>
      <c r="K28" s="133" t="s">
        <v>111</v>
      </c>
      <c r="L28" s="133" t="s">
        <v>111</v>
      </c>
      <c r="M28" s="12">
        <v>4759346722.4483328</v>
      </c>
      <c r="N28" s="12">
        <v>5481555809.9825001</v>
      </c>
      <c r="O28" s="12">
        <v>7065369072.8816652</v>
      </c>
      <c r="P28" s="12">
        <v>9876976107.913332</v>
      </c>
      <c r="Q28" s="12">
        <v>11481154842.577499</v>
      </c>
      <c r="R28" s="12">
        <v>14399421395.731644</v>
      </c>
      <c r="S28" s="12">
        <v>13400802792.057365</v>
      </c>
      <c r="T28" s="12">
        <v>18959367057.852406</v>
      </c>
      <c r="U28" s="12">
        <v>23760591350.419182</v>
      </c>
      <c r="V28" s="12">
        <v>23119475801.997326</v>
      </c>
      <c r="W28" s="12">
        <v>23970242135.474751</v>
      </c>
      <c r="X28" s="12">
        <v>27980282301.193974</v>
      </c>
      <c r="Y28" s="12">
        <v>29861935149.724442</v>
      </c>
      <c r="Z28" s="12">
        <v>35144574437.983437</v>
      </c>
      <c r="AA28" s="12">
        <v>35891839193.006233</v>
      </c>
      <c r="AB28" s="12">
        <v>40841853703.708511</v>
      </c>
      <c r="AC28" s="56">
        <v>45931797457.867332</v>
      </c>
      <c r="AD28" s="56">
        <v>42179963954.24366</v>
      </c>
      <c r="AE28" s="56">
        <v>44372258720.334412</v>
      </c>
      <c r="AF28" s="56">
        <v>54836559049.065247</v>
      </c>
      <c r="AG28" s="56">
        <v>61144668023.244591</v>
      </c>
      <c r="AH28" s="56">
        <v>90839904344.869324</v>
      </c>
      <c r="AI28" s="56">
        <v>97642792453.920578</v>
      </c>
      <c r="AJ28" s="56">
        <v>90925578430.754822</v>
      </c>
      <c r="AK28" s="56">
        <v>103008838640.01831</v>
      </c>
      <c r="AL28" s="56">
        <v>113101117968.08998</v>
      </c>
      <c r="AM28" s="56">
        <v>104303974921.92</v>
      </c>
    </row>
    <row r="29" spans="1:61" s="15" customFormat="1" ht="18" customHeight="1" x14ac:dyDescent="0.45">
      <c r="A29" s="16" t="s">
        <v>26</v>
      </c>
      <c r="B29" s="136" t="s">
        <v>111</v>
      </c>
      <c r="C29" s="136" t="s">
        <v>111</v>
      </c>
      <c r="D29" s="136" t="s">
        <v>111</v>
      </c>
      <c r="E29" s="136" t="s">
        <v>111</v>
      </c>
      <c r="F29" s="136" t="s">
        <v>111</v>
      </c>
      <c r="G29" s="136" t="s">
        <v>111</v>
      </c>
      <c r="H29" s="136" t="s">
        <v>111</v>
      </c>
      <c r="I29" s="136" t="s">
        <v>111</v>
      </c>
      <c r="J29" s="136" t="s">
        <v>111</v>
      </c>
      <c r="K29" s="136" t="s">
        <v>111</v>
      </c>
      <c r="L29" s="136" t="s">
        <v>111</v>
      </c>
      <c r="M29" s="17">
        <v>3763489494.166666</v>
      </c>
      <c r="N29" s="17">
        <v>3996764612.5</v>
      </c>
      <c r="O29" s="17">
        <v>4593577827.5</v>
      </c>
      <c r="P29" s="17">
        <v>6211734735</v>
      </c>
      <c r="Q29" s="17">
        <v>6945590791.666667</v>
      </c>
      <c r="R29" s="17">
        <v>8277836233.3333349</v>
      </c>
      <c r="S29" s="17">
        <v>8043150997.5</v>
      </c>
      <c r="T29" s="17">
        <v>10390320723.333336</v>
      </c>
      <c r="U29" s="17">
        <v>13001356077.500002</v>
      </c>
      <c r="V29" s="17">
        <v>13492472525.000002</v>
      </c>
      <c r="W29" s="17">
        <v>15731627249.999998</v>
      </c>
      <c r="X29" s="17">
        <v>17599462500.000004</v>
      </c>
      <c r="Y29" s="17">
        <v>19490195542.5</v>
      </c>
      <c r="Z29" s="17">
        <v>23925749808.333336</v>
      </c>
      <c r="AA29" s="17">
        <v>27221741799.999996</v>
      </c>
      <c r="AB29" s="17">
        <v>26268019566.666664</v>
      </c>
      <c r="AC29" s="57">
        <v>26857490595.000004</v>
      </c>
      <c r="AD29" s="57">
        <v>30212954054.297245</v>
      </c>
      <c r="AE29" s="57">
        <v>31494406570.246922</v>
      </c>
      <c r="AF29" s="57">
        <v>33089272743.856842</v>
      </c>
      <c r="AG29" s="57">
        <v>38458690886.084526</v>
      </c>
      <c r="AH29" s="57">
        <v>49010373377.666664</v>
      </c>
      <c r="AI29" s="57">
        <v>59011509581.322403</v>
      </c>
      <c r="AJ29" s="57">
        <v>63950404217.473885</v>
      </c>
      <c r="AK29" s="57">
        <v>65964376067.160484</v>
      </c>
      <c r="AL29" s="57">
        <v>73075904833.351135</v>
      </c>
      <c r="AM29" s="57">
        <v>69854337334.444443</v>
      </c>
    </row>
    <row r="30" spans="1:61" s="15" customFormat="1" ht="18" customHeight="1" x14ac:dyDescent="0.45">
      <c r="A30" s="11" t="s">
        <v>27</v>
      </c>
      <c r="B30" s="133" t="s">
        <v>111</v>
      </c>
      <c r="C30" s="133" t="s">
        <v>111</v>
      </c>
      <c r="D30" s="133" t="s">
        <v>111</v>
      </c>
      <c r="E30" s="133" t="s">
        <v>111</v>
      </c>
      <c r="F30" s="133" t="s">
        <v>111</v>
      </c>
      <c r="G30" s="133" t="s">
        <v>111</v>
      </c>
      <c r="H30" s="133" t="s">
        <v>111</v>
      </c>
      <c r="I30" s="133" t="s">
        <v>111</v>
      </c>
      <c r="J30" s="133" t="s">
        <v>111</v>
      </c>
      <c r="K30" s="133" t="s">
        <v>111</v>
      </c>
      <c r="L30" s="133" t="s">
        <v>111</v>
      </c>
      <c r="M30" s="12">
        <v>1471501004.9999998</v>
      </c>
      <c r="N30" s="12">
        <v>1600283066.6666665</v>
      </c>
      <c r="O30" s="12">
        <v>1871390483.3333333</v>
      </c>
      <c r="P30" s="12">
        <v>2779727110.8333335</v>
      </c>
      <c r="Q30" s="12">
        <v>3082163023.3333335</v>
      </c>
      <c r="R30" s="12">
        <v>3288231799.9999995</v>
      </c>
      <c r="S30" s="12">
        <v>3177370079.166666</v>
      </c>
      <c r="T30" s="12">
        <v>3548475996.6666675</v>
      </c>
      <c r="U30" s="12">
        <v>4260736035</v>
      </c>
      <c r="V30" s="12">
        <v>4326396895.000001</v>
      </c>
      <c r="W30" s="12">
        <v>4442610870</v>
      </c>
      <c r="X30" s="12">
        <v>5681006933.3333349</v>
      </c>
      <c r="Y30" s="12">
        <v>7057652041.666666</v>
      </c>
      <c r="Z30" s="12">
        <v>8805561600</v>
      </c>
      <c r="AA30" s="12">
        <v>10423788750.000002</v>
      </c>
      <c r="AB30" s="12">
        <v>11345657151.666666</v>
      </c>
      <c r="AC30" s="56">
        <v>13478163779.166666</v>
      </c>
      <c r="AD30" s="56">
        <v>11214053174.982409</v>
      </c>
      <c r="AE30" s="56">
        <v>10794020785.836996</v>
      </c>
      <c r="AF30" s="56">
        <v>11591209740.214287</v>
      </c>
      <c r="AG30" s="56">
        <v>14390145831.489315</v>
      </c>
      <c r="AH30" s="56">
        <v>17165928383.333332</v>
      </c>
      <c r="AI30" s="56">
        <v>21004528389.907738</v>
      </c>
      <c r="AJ30" s="56">
        <v>24942800872.611107</v>
      </c>
      <c r="AK30" s="56">
        <v>25833315390.576885</v>
      </c>
      <c r="AL30" s="56">
        <v>29384462040.000004</v>
      </c>
      <c r="AM30" s="56">
        <v>22121393023.333332</v>
      </c>
    </row>
    <row r="31" spans="1:61" s="10" customFormat="1" ht="18" customHeight="1" thickBot="1" x14ac:dyDescent="0.5">
      <c r="A31" s="38" t="s">
        <v>28</v>
      </c>
      <c r="B31" s="137" t="s">
        <v>111</v>
      </c>
      <c r="C31" s="137" t="s">
        <v>111</v>
      </c>
      <c r="D31" s="137" t="s">
        <v>111</v>
      </c>
      <c r="E31" s="137" t="s">
        <v>111</v>
      </c>
      <c r="F31" s="137" t="s">
        <v>111</v>
      </c>
      <c r="G31" s="137" t="s">
        <v>111</v>
      </c>
      <c r="H31" s="137" t="s">
        <v>111</v>
      </c>
      <c r="I31" s="137" t="s">
        <v>111</v>
      </c>
      <c r="J31" s="137" t="s">
        <v>111</v>
      </c>
      <c r="K31" s="137" t="s">
        <v>111</v>
      </c>
      <c r="L31" s="137" t="s">
        <v>111</v>
      </c>
      <c r="M31" s="58">
        <v>21247618321.696831</v>
      </c>
      <c r="N31" s="58">
        <v>24986487455.145672</v>
      </c>
      <c r="O31" s="58">
        <v>30188301739.036774</v>
      </c>
      <c r="P31" s="58">
        <v>39707496864.401222</v>
      </c>
      <c r="Q31" s="58">
        <v>47156642987.456886</v>
      </c>
      <c r="R31" s="58">
        <v>53208263071.929985</v>
      </c>
      <c r="S31" s="58">
        <v>52543698291.208687</v>
      </c>
      <c r="T31" s="58">
        <v>64698863035.493073</v>
      </c>
      <c r="U31" s="58">
        <v>80549494251.386963</v>
      </c>
      <c r="V31" s="58">
        <v>80904728980.240662</v>
      </c>
      <c r="W31" s="58">
        <v>88978507347.730469</v>
      </c>
      <c r="X31" s="58">
        <v>102193188102.72546</v>
      </c>
      <c r="Y31" s="58">
        <v>110461858549.22688</v>
      </c>
      <c r="Z31" s="58">
        <v>130721755276.44928</v>
      </c>
      <c r="AA31" s="58">
        <v>148456591215.87045</v>
      </c>
      <c r="AB31" s="58">
        <v>161750590202.56836</v>
      </c>
      <c r="AC31" s="59">
        <v>171977179780.2915</v>
      </c>
      <c r="AD31" s="59">
        <v>175852355636.46823</v>
      </c>
      <c r="AE31" s="59">
        <v>180135745675.99261</v>
      </c>
      <c r="AF31" s="59">
        <v>208860381997.86166</v>
      </c>
      <c r="AG31" s="59">
        <v>261066832824.99698</v>
      </c>
      <c r="AH31" s="59">
        <v>343770685602.16809</v>
      </c>
      <c r="AI31" s="59">
        <v>373779806200.28632</v>
      </c>
      <c r="AJ31" s="59">
        <v>367742583558.67505</v>
      </c>
      <c r="AK31" s="59">
        <v>413164460681.01801</v>
      </c>
      <c r="AL31" s="59">
        <v>491662320932.81366</v>
      </c>
      <c r="AM31" s="59">
        <v>475328291340.70062</v>
      </c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</row>
    <row r="32" spans="1:61" s="10" customFormat="1" ht="18" customHeight="1" thickTop="1" thickBot="1" x14ac:dyDescent="0.5">
      <c r="A32" s="41" t="s">
        <v>29</v>
      </c>
      <c r="B32" s="60">
        <v>20003.977528092888</v>
      </c>
      <c r="C32" s="60">
        <v>501496.50269906386</v>
      </c>
      <c r="D32" s="60">
        <v>2567282.3341132537</v>
      </c>
      <c r="E32" s="60">
        <v>30237211.392060481</v>
      </c>
      <c r="F32" s="60">
        <v>643421398.82351613</v>
      </c>
      <c r="G32" s="60">
        <v>16989638087.887781</v>
      </c>
      <c r="H32" s="60">
        <v>26506670622.808056</v>
      </c>
      <c r="I32" s="60">
        <v>27098747901.11916</v>
      </c>
      <c r="J32" s="60">
        <v>35360524315.035332</v>
      </c>
      <c r="K32" s="60">
        <v>38242981935.683151</v>
      </c>
      <c r="L32" s="60">
        <v>42556294262.837082</v>
      </c>
      <c r="M32" s="60">
        <v>65953712587.177002</v>
      </c>
      <c r="N32" s="60">
        <v>79792009182.871872</v>
      </c>
      <c r="O32" s="60">
        <v>104496357843.76149</v>
      </c>
      <c r="P32" s="60">
        <v>143273708467.04767</v>
      </c>
      <c r="Q32" s="60">
        <v>159630452095.60266</v>
      </c>
      <c r="R32" s="60">
        <v>153972470233.00131</v>
      </c>
      <c r="S32" s="60">
        <v>155672345427.00885</v>
      </c>
      <c r="T32" s="60">
        <v>187082279043.43848</v>
      </c>
      <c r="U32" s="60">
        <v>236859490623.3913</v>
      </c>
      <c r="V32" s="60">
        <v>232038242766.79376</v>
      </c>
      <c r="W32" s="60">
        <v>254463046557.14871</v>
      </c>
      <c r="X32" s="60">
        <v>310761045624.34424</v>
      </c>
      <c r="Y32" s="60">
        <v>343518067957.55914</v>
      </c>
      <c r="Z32" s="60">
        <v>399710394383.82898</v>
      </c>
      <c r="AA32" s="60">
        <v>435512279914.22095</v>
      </c>
      <c r="AB32" s="60">
        <v>469729549604.12695</v>
      </c>
      <c r="AC32" s="61">
        <v>515631764950.55774</v>
      </c>
      <c r="AD32" s="61">
        <v>524256941636.4126</v>
      </c>
      <c r="AE32" s="61">
        <v>536242214667.6756</v>
      </c>
      <c r="AF32" s="61">
        <v>581068948421.02698</v>
      </c>
      <c r="AG32" s="61">
        <v>773991707498.33838</v>
      </c>
      <c r="AH32" s="61">
        <v>1083785384024.8082</v>
      </c>
      <c r="AI32" s="61">
        <v>1194499176951.8254</v>
      </c>
      <c r="AJ32" s="61">
        <v>1190835489602.8032</v>
      </c>
      <c r="AK32" s="61">
        <v>1225894959083.2283</v>
      </c>
      <c r="AL32" s="61">
        <v>1427546340230.8906</v>
      </c>
      <c r="AM32" s="61">
        <v>1370639662535.9575</v>
      </c>
      <c r="AN32" s="15"/>
    </row>
    <row r="33" spans="1:42" ht="18" customHeight="1" thickTop="1" x14ac:dyDescent="0.45">
      <c r="A33" s="148" t="s">
        <v>129</v>
      </c>
      <c r="B33" s="148"/>
      <c r="C33" s="148"/>
      <c r="D33" s="148"/>
      <c r="E33" s="148"/>
      <c r="F33" s="148"/>
      <c r="G33" s="148"/>
      <c r="H33" s="148"/>
      <c r="I33" s="148"/>
      <c r="J33" s="148"/>
      <c r="K33" s="148"/>
      <c r="L33" s="148"/>
      <c r="M33" s="148"/>
      <c r="N33" s="148"/>
      <c r="O33" s="148"/>
      <c r="P33" s="148"/>
      <c r="Q33" s="148"/>
      <c r="R33" s="148"/>
      <c r="S33" s="148"/>
      <c r="T33" s="148"/>
      <c r="U33" s="148"/>
      <c r="V33" s="148"/>
      <c r="W33" s="148"/>
      <c r="X33" s="148"/>
      <c r="Y33" s="148"/>
      <c r="Z33" s="148"/>
      <c r="AA33" s="148"/>
      <c r="AB33" s="148"/>
      <c r="AC33" s="148"/>
      <c r="AD33" s="148"/>
      <c r="AE33" s="148"/>
      <c r="AF33" s="148"/>
      <c r="AG33" s="148"/>
      <c r="AH33" s="148"/>
      <c r="AI33" s="148"/>
      <c r="AJ33" s="148"/>
      <c r="AK33" s="148"/>
      <c r="AL33" s="148"/>
      <c r="AM33" s="148"/>
      <c r="AN33" s="121"/>
      <c r="AO33" s="121"/>
      <c r="AP33" s="121"/>
    </row>
    <row r="34" spans="1:42" x14ac:dyDescent="0.45">
      <c r="A34" s="144" t="s">
        <v>132</v>
      </c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144"/>
      <c r="O34" s="144"/>
      <c r="P34" s="144"/>
      <c r="Q34" s="144"/>
      <c r="R34" s="144"/>
      <c r="S34" s="144"/>
      <c r="T34" s="144"/>
      <c r="U34" s="144"/>
      <c r="V34" s="144"/>
      <c r="W34" s="144"/>
      <c r="X34" s="144"/>
      <c r="Y34" s="144"/>
      <c r="Z34" s="144"/>
      <c r="AA34" s="144"/>
      <c r="AB34" s="144"/>
      <c r="AC34" s="144"/>
      <c r="AD34" s="144"/>
      <c r="AE34" s="144"/>
      <c r="AF34" s="144"/>
      <c r="AG34" s="144"/>
      <c r="AH34" s="144"/>
      <c r="AI34" s="144"/>
      <c r="AJ34" s="144"/>
      <c r="AK34" s="144"/>
      <c r="AL34" s="144"/>
      <c r="AM34" s="144"/>
      <c r="AN34" s="121"/>
      <c r="AO34" s="121"/>
      <c r="AP34" s="121"/>
    </row>
    <row r="35" spans="1:42" x14ac:dyDescent="0.45">
      <c r="A35" s="144" t="s">
        <v>114</v>
      </c>
      <c r="B35" s="144"/>
      <c r="C35" s="144"/>
      <c r="D35" s="144"/>
      <c r="E35" s="144"/>
      <c r="F35" s="144"/>
      <c r="G35" s="144"/>
      <c r="H35" s="144"/>
      <c r="I35" s="144"/>
      <c r="J35" s="144"/>
      <c r="K35" s="144"/>
      <c r="L35" s="144"/>
      <c r="M35" s="144"/>
      <c r="N35" s="144"/>
      <c r="O35" s="144"/>
      <c r="P35" s="144"/>
      <c r="Q35" s="144"/>
      <c r="R35" s="144"/>
      <c r="S35" s="144"/>
      <c r="T35" s="144"/>
      <c r="U35" s="144"/>
      <c r="V35" s="144"/>
      <c r="W35" s="144"/>
      <c r="X35" s="144"/>
      <c r="Y35" s="144"/>
      <c r="Z35" s="144"/>
      <c r="AA35" s="144"/>
      <c r="AB35" s="144"/>
      <c r="AC35" s="144"/>
      <c r="AD35" s="144"/>
      <c r="AE35" s="144"/>
      <c r="AF35" s="144"/>
      <c r="AG35" s="144"/>
      <c r="AH35" s="144"/>
      <c r="AI35" s="144"/>
      <c r="AJ35" s="144"/>
      <c r="AK35" s="144"/>
      <c r="AL35" s="144"/>
      <c r="AM35" s="144"/>
      <c r="AN35" s="121"/>
      <c r="AO35" s="121"/>
      <c r="AP35" s="121"/>
    </row>
    <row r="36" spans="1:42" x14ac:dyDescent="0.45">
      <c r="A36" s="144" t="s">
        <v>30</v>
      </c>
      <c r="B36" s="144"/>
      <c r="C36" s="144"/>
      <c r="D36" s="144"/>
      <c r="E36" s="144"/>
      <c r="F36" s="144"/>
      <c r="G36" s="144"/>
      <c r="H36" s="144"/>
      <c r="I36" s="144"/>
      <c r="J36" s="144"/>
      <c r="K36" s="144"/>
      <c r="L36" s="144"/>
      <c r="M36" s="144"/>
      <c r="N36" s="144"/>
      <c r="O36" s="144"/>
      <c r="P36" s="144"/>
      <c r="Q36" s="144"/>
      <c r="R36" s="144"/>
      <c r="S36" s="144"/>
      <c r="T36" s="144"/>
      <c r="U36" s="144"/>
      <c r="V36" s="144"/>
      <c r="W36" s="144"/>
      <c r="X36" s="144"/>
      <c r="Y36" s="144"/>
      <c r="Z36" s="144"/>
      <c r="AA36" s="144"/>
      <c r="AB36" s="144"/>
      <c r="AC36" s="144"/>
      <c r="AD36" s="144"/>
      <c r="AE36" s="144"/>
      <c r="AF36" s="144"/>
      <c r="AG36" s="144"/>
      <c r="AH36" s="144"/>
      <c r="AI36" s="144"/>
      <c r="AJ36" s="144"/>
      <c r="AK36" s="144"/>
      <c r="AL36" s="144"/>
      <c r="AM36" s="144"/>
      <c r="AN36" s="121"/>
      <c r="AO36" s="121"/>
      <c r="AP36" s="121"/>
    </row>
    <row r="37" spans="1:42" x14ac:dyDescent="0.45">
      <c r="A37" s="144" t="s">
        <v>31</v>
      </c>
      <c r="B37" s="144"/>
      <c r="C37" s="144"/>
      <c r="D37" s="144"/>
      <c r="E37" s="144"/>
      <c r="F37" s="144"/>
      <c r="G37" s="144"/>
      <c r="H37" s="144"/>
      <c r="I37" s="144"/>
      <c r="J37" s="144"/>
      <c r="K37" s="144"/>
      <c r="L37" s="144"/>
      <c r="M37" s="144"/>
      <c r="N37" s="144"/>
      <c r="O37" s="144"/>
      <c r="P37" s="144"/>
      <c r="Q37" s="144"/>
      <c r="R37" s="144"/>
      <c r="S37" s="144"/>
      <c r="T37" s="144"/>
      <c r="U37" s="144"/>
      <c r="V37" s="144"/>
      <c r="W37" s="144"/>
      <c r="X37" s="144"/>
      <c r="Y37" s="144"/>
      <c r="Z37" s="144"/>
      <c r="AA37" s="144"/>
      <c r="AB37" s="144"/>
      <c r="AC37" s="144"/>
      <c r="AD37" s="144"/>
      <c r="AE37" s="144"/>
      <c r="AF37" s="144"/>
      <c r="AG37" s="144"/>
      <c r="AH37" s="144"/>
      <c r="AI37" s="144"/>
      <c r="AJ37" s="144"/>
      <c r="AK37" s="144"/>
      <c r="AL37" s="144"/>
      <c r="AM37" s="144"/>
      <c r="AN37" s="121"/>
      <c r="AO37" s="121"/>
      <c r="AP37" s="121"/>
    </row>
    <row r="38" spans="1:42" x14ac:dyDescent="0.45">
      <c r="A38" s="150" t="s">
        <v>32</v>
      </c>
      <c r="B38" s="150"/>
      <c r="C38" s="150"/>
      <c r="D38" s="150"/>
      <c r="E38" s="150"/>
      <c r="F38" s="150"/>
      <c r="G38" s="150"/>
      <c r="H38" s="150"/>
      <c r="I38" s="150"/>
      <c r="J38" s="150"/>
      <c r="K38" s="150"/>
      <c r="L38" s="150"/>
      <c r="M38" s="150"/>
      <c r="N38" s="150"/>
      <c r="O38" s="150"/>
      <c r="P38" s="150"/>
      <c r="Q38" s="150"/>
      <c r="R38" s="150"/>
      <c r="S38" s="150"/>
      <c r="T38" s="150"/>
      <c r="U38" s="150"/>
      <c r="V38" s="150"/>
      <c r="W38" s="150"/>
      <c r="X38" s="150"/>
      <c r="Y38" s="150"/>
      <c r="Z38" s="150"/>
      <c r="AA38" s="150"/>
      <c r="AB38" s="150"/>
      <c r="AC38" s="150"/>
      <c r="AD38" s="150"/>
      <c r="AE38" s="150"/>
      <c r="AF38" s="150"/>
      <c r="AG38" s="150"/>
      <c r="AH38" s="150"/>
      <c r="AI38" s="150"/>
      <c r="AJ38" s="150"/>
      <c r="AK38" s="150"/>
      <c r="AL38" s="150"/>
      <c r="AM38" s="150"/>
      <c r="AN38" s="121"/>
      <c r="AO38" s="121"/>
      <c r="AP38" s="121"/>
    </row>
    <row r="39" spans="1:42" x14ac:dyDescent="0.45">
      <c r="A39" s="144" t="s">
        <v>90</v>
      </c>
      <c r="B39" s="144"/>
      <c r="C39" s="144"/>
      <c r="D39" s="144"/>
      <c r="E39" s="144"/>
      <c r="F39" s="144"/>
      <c r="G39" s="144"/>
      <c r="H39" s="144"/>
      <c r="I39" s="144"/>
      <c r="J39" s="144"/>
      <c r="K39" s="144"/>
      <c r="L39" s="144"/>
      <c r="M39" s="144"/>
      <c r="N39" s="144"/>
      <c r="O39" s="144"/>
      <c r="P39" s="144"/>
      <c r="Q39" s="144"/>
      <c r="R39" s="144"/>
      <c r="S39" s="144"/>
      <c r="T39" s="144"/>
      <c r="U39" s="144"/>
      <c r="V39" s="144"/>
      <c r="W39" s="144"/>
      <c r="X39" s="144"/>
      <c r="Y39" s="144"/>
      <c r="Z39" s="144"/>
      <c r="AA39" s="144"/>
      <c r="AB39" s="144"/>
      <c r="AC39" s="144"/>
      <c r="AD39" s="144"/>
      <c r="AE39" s="144"/>
      <c r="AF39" s="144"/>
      <c r="AG39" s="144"/>
      <c r="AH39" s="144"/>
      <c r="AI39" s="144"/>
      <c r="AJ39" s="144"/>
      <c r="AK39" s="144"/>
      <c r="AL39" s="144"/>
      <c r="AM39" s="144"/>
      <c r="AN39" s="121"/>
      <c r="AO39" s="121"/>
      <c r="AP39" s="121"/>
    </row>
    <row r="40" spans="1:42" x14ac:dyDescent="0.45">
      <c r="A40" s="144" t="s">
        <v>133</v>
      </c>
      <c r="B40" s="144"/>
      <c r="C40" s="144"/>
      <c r="D40" s="144"/>
      <c r="E40" s="144"/>
      <c r="F40" s="144"/>
      <c r="G40" s="144"/>
      <c r="H40" s="144"/>
      <c r="I40" s="144"/>
      <c r="J40" s="144"/>
      <c r="K40" s="144"/>
      <c r="L40" s="144"/>
      <c r="M40" s="144"/>
      <c r="N40" s="144"/>
      <c r="O40" s="144"/>
      <c r="P40" s="144"/>
      <c r="Q40" s="144"/>
      <c r="R40" s="144"/>
      <c r="S40" s="144"/>
      <c r="T40" s="144"/>
      <c r="U40" s="144"/>
      <c r="V40" s="144"/>
      <c r="W40" s="144"/>
      <c r="X40" s="144"/>
      <c r="Y40" s="144"/>
      <c r="Z40" s="144"/>
      <c r="AA40" s="144"/>
      <c r="AB40" s="144"/>
      <c r="AC40" s="144"/>
      <c r="AD40" s="144"/>
      <c r="AE40" s="144"/>
      <c r="AF40" s="144"/>
      <c r="AG40" s="144"/>
      <c r="AH40" s="144"/>
      <c r="AI40" s="144"/>
      <c r="AJ40" s="144"/>
      <c r="AK40" s="144"/>
      <c r="AL40" s="144"/>
      <c r="AM40" s="144"/>
      <c r="AN40" s="121"/>
      <c r="AO40" s="121"/>
      <c r="AP40" s="121"/>
    </row>
    <row r="41" spans="1:42" x14ac:dyDescent="0.45">
      <c r="A41" s="144" t="s">
        <v>33</v>
      </c>
      <c r="B41" s="144"/>
      <c r="C41" s="144"/>
      <c r="D41" s="144"/>
      <c r="E41" s="144"/>
      <c r="F41" s="144"/>
      <c r="G41" s="144"/>
      <c r="H41" s="144"/>
      <c r="I41" s="144"/>
      <c r="J41" s="144"/>
      <c r="K41" s="144"/>
      <c r="L41" s="144"/>
      <c r="M41" s="144"/>
      <c r="N41" s="144"/>
      <c r="O41" s="144"/>
      <c r="P41" s="144"/>
      <c r="Q41" s="144"/>
      <c r="R41" s="144"/>
      <c r="S41" s="144"/>
      <c r="T41" s="144"/>
      <c r="U41" s="144"/>
      <c r="V41" s="144"/>
      <c r="W41" s="144"/>
      <c r="X41" s="144"/>
      <c r="Y41" s="144"/>
      <c r="Z41" s="144"/>
      <c r="AA41" s="144"/>
      <c r="AB41" s="144"/>
      <c r="AC41" s="144"/>
      <c r="AD41" s="144"/>
      <c r="AE41" s="144"/>
      <c r="AF41" s="144"/>
      <c r="AG41" s="144"/>
      <c r="AH41" s="144"/>
      <c r="AI41" s="144"/>
      <c r="AJ41" s="144"/>
      <c r="AK41" s="144"/>
      <c r="AL41" s="144"/>
      <c r="AM41" s="144"/>
      <c r="AN41" s="121"/>
      <c r="AO41" s="121"/>
      <c r="AP41" s="121"/>
    </row>
    <row r="42" spans="1:42" x14ac:dyDescent="0.45">
      <c r="A42" s="144" t="s">
        <v>34</v>
      </c>
      <c r="B42" s="144"/>
      <c r="C42" s="144"/>
      <c r="D42" s="144"/>
      <c r="E42" s="144"/>
      <c r="F42" s="144"/>
      <c r="G42" s="144"/>
      <c r="H42" s="144"/>
      <c r="I42" s="144"/>
      <c r="J42" s="144"/>
      <c r="K42" s="144"/>
      <c r="L42" s="144"/>
      <c r="M42" s="144"/>
      <c r="N42" s="144"/>
      <c r="O42" s="144"/>
      <c r="P42" s="144"/>
      <c r="Q42" s="144"/>
      <c r="R42" s="144"/>
      <c r="S42" s="144"/>
      <c r="T42" s="144"/>
      <c r="U42" s="144"/>
      <c r="V42" s="144"/>
      <c r="W42" s="144"/>
      <c r="X42" s="144"/>
      <c r="Y42" s="144"/>
      <c r="Z42" s="144"/>
      <c r="AA42" s="144"/>
      <c r="AB42" s="144"/>
      <c r="AC42" s="144"/>
      <c r="AD42" s="144"/>
      <c r="AE42" s="144"/>
      <c r="AF42" s="144"/>
      <c r="AG42" s="144"/>
      <c r="AH42" s="144"/>
      <c r="AI42" s="144"/>
      <c r="AJ42" s="144"/>
      <c r="AK42" s="144"/>
      <c r="AL42" s="144"/>
      <c r="AM42" s="144"/>
      <c r="AN42" s="121"/>
      <c r="AO42" s="121"/>
      <c r="AP42" s="121"/>
    </row>
    <row r="43" spans="1:42" x14ac:dyDescent="0.45">
      <c r="A43" s="144" t="s">
        <v>115</v>
      </c>
      <c r="B43" s="144"/>
      <c r="C43" s="144"/>
      <c r="D43" s="144"/>
      <c r="E43" s="144"/>
      <c r="F43" s="144"/>
      <c r="G43" s="144"/>
      <c r="H43" s="144"/>
      <c r="I43" s="144"/>
      <c r="J43" s="144"/>
      <c r="K43" s="144"/>
      <c r="L43" s="144"/>
      <c r="M43" s="144"/>
      <c r="N43" s="144"/>
      <c r="O43" s="144"/>
      <c r="P43" s="144"/>
      <c r="Q43" s="144"/>
      <c r="R43" s="144"/>
      <c r="S43" s="144"/>
      <c r="T43" s="144"/>
      <c r="U43" s="144"/>
      <c r="V43" s="144"/>
      <c r="W43" s="144"/>
      <c r="X43" s="144"/>
      <c r="Y43" s="144"/>
      <c r="Z43" s="144"/>
      <c r="AA43" s="144"/>
      <c r="AB43" s="144"/>
      <c r="AC43" s="144"/>
      <c r="AD43" s="144"/>
      <c r="AE43" s="144"/>
      <c r="AF43" s="144"/>
      <c r="AG43" s="144"/>
      <c r="AH43" s="144"/>
      <c r="AI43" s="144"/>
      <c r="AJ43" s="144"/>
      <c r="AK43" s="144"/>
      <c r="AL43" s="144"/>
      <c r="AM43" s="144"/>
      <c r="AN43" s="121"/>
      <c r="AO43" s="121"/>
      <c r="AP43" s="121"/>
    </row>
    <row r="44" spans="1:42" x14ac:dyDescent="0.45">
      <c r="A44" s="144" t="s">
        <v>118</v>
      </c>
      <c r="B44" s="144"/>
      <c r="C44" s="144"/>
      <c r="D44" s="144"/>
      <c r="E44" s="144"/>
      <c r="F44" s="144"/>
      <c r="G44" s="144"/>
      <c r="H44" s="144"/>
      <c r="I44" s="144"/>
      <c r="J44" s="144"/>
      <c r="K44" s="144"/>
      <c r="L44" s="144"/>
      <c r="M44" s="144"/>
      <c r="N44" s="144"/>
      <c r="O44" s="144"/>
      <c r="P44" s="144"/>
      <c r="Q44" s="144"/>
      <c r="R44" s="144"/>
      <c r="S44" s="144"/>
      <c r="T44" s="144"/>
      <c r="U44" s="144"/>
      <c r="V44" s="144"/>
      <c r="W44" s="144"/>
      <c r="X44" s="144"/>
      <c r="Y44" s="144"/>
      <c r="Z44" s="144"/>
      <c r="AA44" s="144"/>
      <c r="AB44" s="144"/>
      <c r="AC44" s="144"/>
      <c r="AD44" s="144"/>
      <c r="AE44" s="144"/>
      <c r="AF44" s="144"/>
      <c r="AG44" s="144"/>
      <c r="AH44" s="144"/>
      <c r="AI44" s="144"/>
      <c r="AJ44" s="144"/>
      <c r="AK44" s="144"/>
      <c r="AL44" s="144"/>
      <c r="AM44" s="144"/>
      <c r="AN44" s="121"/>
      <c r="AO44" s="121"/>
      <c r="AP44" s="121"/>
    </row>
    <row r="48" spans="1:42" x14ac:dyDescent="0.45">
      <c r="A48" s="30"/>
    </row>
  </sheetData>
  <mergeCells count="12">
    <mergeCell ref="A44:AM44"/>
    <mergeCell ref="A39:AM39"/>
    <mergeCell ref="A40:AM40"/>
    <mergeCell ref="A41:AM41"/>
    <mergeCell ref="A42:AM42"/>
    <mergeCell ref="A43:AM43"/>
    <mergeCell ref="A38:AM38"/>
    <mergeCell ref="A33:AM33"/>
    <mergeCell ref="A34:AM34"/>
    <mergeCell ref="A35:AM35"/>
    <mergeCell ref="A36:AM36"/>
    <mergeCell ref="A37:AM37"/>
  </mergeCells>
  <printOptions horizontalCentered="1"/>
  <pageMargins left="0.39370078740157483" right="0.39370078740157483" top="0.78740157480314965" bottom="0.78740157480314965" header="0.31496062992125984" footer="0.31496062992125984"/>
  <pageSetup paperSize="9" scale="23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33"/>
  <sheetViews>
    <sheetView showGridLines="0" zoomScale="90" zoomScaleNormal="90" workbookViewId="0">
      <selection activeCell="A2" sqref="A2"/>
    </sheetView>
  </sheetViews>
  <sheetFormatPr defaultColWidth="8.88671875" defaultRowHeight="18.600000000000001" customHeight="1" x14ac:dyDescent="0.45"/>
  <cols>
    <col min="1" max="1" width="11.109375" style="44" customWidth="1"/>
    <col min="2" max="2" width="21.109375" style="3" customWidth="1"/>
    <col min="3" max="3" width="20.5546875" style="3" bestFit="1" customWidth="1"/>
    <col min="4" max="4" width="9" style="3" bestFit="1" customWidth="1"/>
    <col min="5" max="5" width="8.88671875" style="3"/>
    <col min="6" max="6" width="11.109375" style="3" bestFit="1" customWidth="1"/>
    <col min="7" max="7" width="19.33203125" style="3" customWidth="1"/>
    <col min="8" max="8" width="18.33203125" style="3" bestFit="1" customWidth="1"/>
    <col min="9" max="16384" width="8.88671875" style="3"/>
  </cols>
  <sheetData>
    <row r="1" spans="1:8" ht="17.399999999999999" customHeight="1" x14ac:dyDescent="0.45">
      <c r="A1" s="152" t="s">
        <v>91</v>
      </c>
      <c r="B1" s="152"/>
      <c r="C1" s="152"/>
      <c r="D1" s="152"/>
    </row>
    <row r="2" spans="1:8" ht="18.600000000000001" customHeight="1" x14ac:dyDescent="0.45">
      <c r="B2" s="153" t="s">
        <v>2</v>
      </c>
      <c r="C2" s="153"/>
    </row>
    <row r="3" spans="1:8" ht="18.600000000000001" customHeight="1" thickBot="1" x14ac:dyDescent="0.5">
      <c r="A3" s="45" t="s">
        <v>92</v>
      </c>
      <c r="B3" s="45" t="s">
        <v>3</v>
      </c>
      <c r="C3" s="46">
        <v>2026</v>
      </c>
      <c r="D3" s="46" t="s">
        <v>93</v>
      </c>
      <c r="F3" s="45" t="s">
        <v>92</v>
      </c>
      <c r="G3" s="45" t="s">
        <v>3</v>
      </c>
      <c r="H3" s="46">
        <v>2026</v>
      </c>
    </row>
    <row r="4" spans="1:8" ht="18.600000000000001" customHeight="1" thickTop="1" x14ac:dyDescent="0.45">
      <c r="A4" s="47" t="s">
        <v>94</v>
      </c>
      <c r="B4" s="12" t="s">
        <v>18</v>
      </c>
      <c r="C4" s="12">
        <v>342093144170.19611</v>
      </c>
      <c r="D4" s="48">
        <v>0.24958649127171423</v>
      </c>
      <c r="F4" s="47" t="s">
        <v>94</v>
      </c>
      <c r="G4" s="11" t="s">
        <v>18</v>
      </c>
      <c r="H4" s="12">
        <v>342093144170.19611</v>
      </c>
    </row>
    <row r="5" spans="1:8" ht="18.600000000000001" customHeight="1" x14ac:dyDescent="0.45">
      <c r="A5" s="49" t="s">
        <v>95</v>
      </c>
      <c r="B5" s="17" t="s">
        <v>17</v>
      </c>
      <c r="C5" s="17">
        <v>154625840277.31018</v>
      </c>
      <c r="D5" s="50">
        <v>0.11281290371476735</v>
      </c>
      <c r="F5" s="49" t="s">
        <v>95</v>
      </c>
      <c r="G5" s="16" t="s">
        <v>17</v>
      </c>
      <c r="H5" s="17">
        <v>154625840277.31018</v>
      </c>
    </row>
    <row r="6" spans="1:8" ht="18.600000000000001" customHeight="1" x14ac:dyDescent="0.45">
      <c r="A6" s="47" t="s">
        <v>96</v>
      </c>
      <c r="B6" s="12" t="s">
        <v>11</v>
      </c>
      <c r="C6" s="12">
        <v>116273533842.66667</v>
      </c>
      <c r="D6" s="48">
        <v>8.4831584128783624E-2</v>
      </c>
      <c r="F6" s="47" t="s">
        <v>96</v>
      </c>
      <c r="G6" s="11" t="s">
        <v>11</v>
      </c>
      <c r="H6" s="12">
        <v>116273533842.66667</v>
      </c>
    </row>
    <row r="7" spans="1:8" ht="18.600000000000001" customHeight="1" x14ac:dyDescent="0.45">
      <c r="A7" s="49" t="s">
        <v>97</v>
      </c>
      <c r="B7" s="17" t="s">
        <v>12</v>
      </c>
      <c r="C7" s="17">
        <v>103895016482.39998</v>
      </c>
      <c r="D7" s="50">
        <v>7.5800386726131513E-2</v>
      </c>
      <c r="F7" s="49" t="s">
        <v>97</v>
      </c>
      <c r="G7" s="16" t="s">
        <v>12</v>
      </c>
      <c r="H7" s="17">
        <v>103895016482.39998</v>
      </c>
    </row>
    <row r="8" spans="1:8" ht="18.600000000000001" customHeight="1" x14ac:dyDescent="0.45">
      <c r="A8" s="47" t="s">
        <v>98</v>
      </c>
      <c r="B8" s="12" t="s">
        <v>5</v>
      </c>
      <c r="C8" s="12">
        <v>30342869333.333336</v>
      </c>
      <c r="D8" s="48">
        <v>2.2137743538803597E-2</v>
      </c>
      <c r="F8" s="47" t="s">
        <v>98</v>
      </c>
      <c r="G8" s="11" t="s">
        <v>5</v>
      </c>
      <c r="H8" s="12">
        <v>30342869333.333336</v>
      </c>
    </row>
    <row r="9" spans="1:8" ht="18.600000000000001" customHeight="1" thickBot="1" x14ac:dyDescent="0.5">
      <c r="A9" s="49" t="s">
        <v>99</v>
      </c>
      <c r="B9" s="17" t="s">
        <v>16</v>
      </c>
      <c r="C9" s="17">
        <v>25120639513.132141</v>
      </c>
      <c r="D9" s="50">
        <v>1.832767590181502E-2</v>
      </c>
      <c r="F9" s="45" t="s">
        <v>92</v>
      </c>
      <c r="G9" s="45" t="s">
        <v>77</v>
      </c>
      <c r="H9" s="46">
        <v>2026</v>
      </c>
    </row>
    <row r="10" spans="1:8" ht="18.600000000000001" customHeight="1" thickTop="1" x14ac:dyDescent="0.45">
      <c r="A10" s="47" t="s">
        <v>100</v>
      </c>
      <c r="B10" s="12" t="s">
        <v>8</v>
      </c>
      <c r="C10" s="12">
        <v>22281708900.485756</v>
      </c>
      <c r="D10" s="48">
        <v>1.6256430854525352E-2</v>
      </c>
      <c r="F10" s="47" t="s">
        <v>94</v>
      </c>
      <c r="G10" s="11" t="s">
        <v>23</v>
      </c>
      <c r="H10" s="12">
        <v>218700052666.68539</v>
      </c>
    </row>
    <row r="11" spans="1:8" ht="18.600000000000001" customHeight="1" x14ac:dyDescent="0.45">
      <c r="A11" s="49" t="s">
        <v>101</v>
      </c>
      <c r="B11" s="17" t="s">
        <v>19</v>
      </c>
      <c r="C11" s="17">
        <v>17412295669.308109</v>
      </c>
      <c r="D11" s="50">
        <v>1.2703773387888017E-2</v>
      </c>
      <c r="F11" s="49" t="s">
        <v>95</v>
      </c>
      <c r="G11" s="16" t="s">
        <v>25</v>
      </c>
      <c r="H11" s="17">
        <v>104303974921.92</v>
      </c>
    </row>
    <row r="12" spans="1:8" ht="18.600000000000001" customHeight="1" x14ac:dyDescent="0.45">
      <c r="A12" s="47" t="s">
        <v>102</v>
      </c>
      <c r="B12" s="12" t="s">
        <v>14</v>
      </c>
      <c r="C12" s="12">
        <v>15566734609.338612</v>
      </c>
      <c r="D12" s="48">
        <v>1.1357277215031877E-2</v>
      </c>
      <c r="F12" s="47" t="s">
        <v>96</v>
      </c>
      <c r="G12" s="11" t="s">
        <v>26</v>
      </c>
      <c r="H12" s="12">
        <v>69854337334.444443</v>
      </c>
    </row>
    <row r="13" spans="1:8" ht="18.600000000000001" customHeight="1" x14ac:dyDescent="0.45">
      <c r="A13" s="49" t="s">
        <v>103</v>
      </c>
      <c r="B13" s="17" t="s">
        <v>7</v>
      </c>
      <c r="C13" s="17">
        <v>14471891389.587498</v>
      </c>
      <c r="D13" s="50">
        <v>1.055849453736922E-2</v>
      </c>
      <c r="F13" s="49" t="s">
        <v>97</v>
      </c>
      <c r="G13" s="16" t="s">
        <v>24</v>
      </c>
      <c r="H13" s="17">
        <v>60348533394.317467</v>
      </c>
    </row>
    <row r="14" spans="1:8" ht="18.600000000000001" customHeight="1" x14ac:dyDescent="0.45">
      <c r="A14" s="47" t="s">
        <v>104</v>
      </c>
      <c r="B14" s="12" t="s">
        <v>13</v>
      </c>
      <c r="C14" s="12">
        <v>12744830103.012695</v>
      </c>
      <c r="D14" s="48">
        <v>9.2984541826494436E-3</v>
      </c>
      <c r="F14" s="47" t="s">
        <v>98</v>
      </c>
      <c r="G14" s="11" t="s">
        <v>27</v>
      </c>
      <c r="H14" s="12">
        <v>22121393023.333332</v>
      </c>
    </row>
    <row r="15" spans="1:8" ht="18.600000000000001" customHeight="1" x14ac:dyDescent="0.45">
      <c r="A15" s="49" t="s">
        <v>105</v>
      </c>
      <c r="B15" s="17" t="s">
        <v>21</v>
      </c>
      <c r="C15" s="17">
        <v>10577143007.999998</v>
      </c>
      <c r="D15" s="50">
        <v>7.7169392489563364E-3</v>
      </c>
    </row>
    <row r="16" spans="1:8" ht="18.600000000000001" customHeight="1" x14ac:dyDescent="0.45">
      <c r="A16" s="47" t="s">
        <v>106</v>
      </c>
      <c r="B16" s="12" t="s">
        <v>20</v>
      </c>
      <c r="C16" s="12">
        <v>8615311173.3999996</v>
      </c>
      <c r="D16" s="48">
        <v>6.285613505054969E-3</v>
      </c>
    </row>
    <row r="17" spans="1:4" ht="18.600000000000001" customHeight="1" x14ac:dyDescent="0.45">
      <c r="A17" s="49" t="s">
        <v>107</v>
      </c>
      <c r="B17" s="17" t="s">
        <v>9</v>
      </c>
      <c r="C17" s="17">
        <v>8294255696.2857151</v>
      </c>
      <c r="D17" s="50">
        <v>6.0513758086787614E-3</v>
      </c>
    </row>
    <row r="18" spans="1:4" ht="18.600000000000001" customHeight="1" x14ac:dyDescent="0.45">
      <c r="A18" s="47" t="s">
        <v>108</v>
      </c>
      <c r="B18" s="12" t="s">
        <v>10</v>
      </c>
      <c r="C18" s="12">
        <v>7680636642.8000002</v>
      </c>
      <c r="D18" s="48">
        <v>5.6036877180318028E-3</v>
      </c>
    </row>
    <row r="19" spans="1:4" ht="18.600000000000001" customHeight="1" x14ac:dyDescent="0.45">
      <c r="A19" s="49" t="s">
        <v>109</v>
      </c>
      <c r="B19" s="17" t="s">
        <v>6</v>
      </c>
      <c r="C19" s="17">
        <v>5315520384</v>
      </c>
      <c r="D19" s="50">
        <v>3.8781311596989862E-3</v>
      </c>
    </row>
    <row r="20" spans="1:4" ht="18.600000000000001" customHeight="1" x14ac:dyDescent="0.45">
      <c r="A20" s="47" t="s">
        <v>110</v>
      </c>
      <c r="B20" s="12" t="s">
        <v>15</v>
      </c>
      <c r="C20" s="133" t="s">
        <v>111</v>
      </c>
      <c r="D20" s="48" t="s">
        <v>111</v>
      </c>
    </row>
    <row r="21" spans="1:4" ht="18.600000000000001" customHeight="1" thickBot="1" x14ac:dyDescent="0.5">
      <c r="A21" s="51"/>
      <c r="B21" s="20" t="s">
        <v>3</v>
      </c>
      <c r="C21" s="21">
        <v>895311371195.25684</v>
      </c>
      <c r="D21" s="52">
        <v>0.6532069628999001</v>
      </c>
    </row>
    <row r="22" spans="1:4" ht="18.600000000000001" customHeight="1" thickTop="1" x14ac:dyDescent="0.45">
      <c r="A22" s="47" t="s">
        <v>94</v>
      </c>
      <c r="B22" s="12" t="s">
        <v>23</v>
      </c>
      <c r="C22" s="12">
        <v>218700052666.68539</v>
      </c>
      <c r="D22" s="48">
        <v>0.15956057499609091</v>
      </c>
    </row>
    <row r="23" spans="1:4" ht="18.600000000000001" customHeight="1" x14ac:dyDescent="0.45">
      <c r="A23" s="49" t="s">
        <v>95</v>
      </c>
      <c r="B23" s="17" t="s">
        <v>25</v>
      </c>
      <c r="C23" s="17">
        <v>104303974921.92</v>
      </c>
      <c r="D23" s="50">
        <v>7.6098757224737523E-2</v>
      </c>
    </row>
    <row r="24" spans="1:4" ht="18.600000000000001" customHeight="1" x14ac:dyDescent="0.45">
      <c r="A24" s="47" t="s">
        <v>96</v>
      </c>
      <c r="B24" s="12" t="s">
        <v>26</v>
      </c>
      <c r="C24" s="12">
        <v>69854337334.444443</v>
      </c>
      <c r="D24" s="48">
        <v>5.0964771590805966E-2</v>
      </c>
    </row>
    <row r="25" spans="1:4" ht="18.600000000000001" customHeight="1" x14ac:dyDescent="0.45">
      <c r="A25" s="49" t="s">
        <v>97</v>
      </c>
      <c r="B25" s="17" t="s">
        <v>24</v>
      </c>
      <c r="C25" s="17">
        <v>60348533394.317467</v>
      </c>
      <c r="D25" s="50">
        <v>4.4029466710937437E-2</v>
      </c>
    </row>
    <row r="26" spans="1:4" ht="18.600000000000001" customHeight="1" x14ac:dyDescent="0.45">
      <c r="A26" s="47" t="s">
        <v>98</v>
      </c>
      <c r="B26" s="12" t="s">
        <v>27</v>
      </c>
      <c r="C26" s="12">
        <v>22121393023.333332</v>
      </c>
      <c r="D26" s="48">
        <v>1.6139466577527992E-2</v>
      </c>
    </row>
    <row r="27" spans="1:4" ht="18.600000000000001" customHeight="1" thickBot="1" x14ac:dyDescent="0.5">
      <c r="A27" s="51"/>
      <c r="B27" s="20" t="s">
        <v>77</v>
      </c>
      <c r="C27" s="21">
        <v>475328291340.70062</v>
      </c>
      <c r="D27" s="52">
        <v>0.34679303710009984</v>
      </c>
    </row>
    <row r="28" spans="1:4" ht="18.600000000000001" customHeight="1" thickTop="1" thickBot="1" x14ac:dyDescent="0.5">
      <c r="A28" s="53"/>
      <c r="B28" s="24" t="s">
        <v>29</v>
      </c>
      <c r="C28" s="25">
        <v>1370639662535.9575</v>
      </c>
      <c r="D28" s="54">
        <v>1</v>
      </c>
    </row>
    <row r="29" spans="1:4" ht="19.8" thickTop="1" x14ac:dyDescent="0.45">
      <c r="A29" s="148" t="s">
        <v>118</v>
      </c>
      <c r="B29" s="148"/>
      <c r="C29" s="148"/>
      <c r="D29" s="148"/>
    </row>
    <row r="30" spans="1:4" ht="19.2" x14ac:dyDescent="0.45">
      <c r="A30" s="144" t="s">
        <v>133</v>
      </c>
      <c r="B30" s="144"/>
      <c r="C30" s="144"/>
      <c r="D30" s="144"/>
    </row>
    <row r="33" ht="19.2" x14ac:dyDescent="0.45"/>
  </sheetData>
  <sortState xmlns:xlrd2="http://schemas.microsoft.com/office/spreadsheetml/2017/richdata2" ref="B23:D26">
    <sortCondition descending="1" ref="D22:D26"/>
  </sortState>
  <mergeCells count="4">
    <mergeCell ref="A1:D1"/>
    <mergeCell ref="B2:C2"/>
    <mergeCell ref="A29:D29"/>
    <mergeCell ref="A30:D30"/>
  </mergeCells>
  <phoneticPr fontId="3" type="noConversion"/>
  <pageMargins left="0.511811024" right="0.511811024" top="0.78740157499999996" bottom="0.78740157499999996" header="0.31496062000000002" footer="0.31496062000000002"/>
  <pageSetup paperSize="9" orientation="portrait" horizontalDpi="30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Capa</vt:lpstr>
      <vt:lpstr>VBP</vt:lpstr>
      <vt:lpstr>VBP completo</vt:lpstr>
      <vt:lpstr>Laspeyres</vt:lpstr>
      <vt:lpstr>Variação</vt:lpstr>
      <vt:lpstr>VBP Completo Nominal</vt:lpstr>
      <vt:lpstr>Ranking 2026</vt:lpstr>
    </vt:vector>
  </TitlesOfParts>
  <Manager/>
  <Company>MAPA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Eliana Bastos</dc:creator>
  <cp:keywords/>
  <dc:description/>
  <cp:lastModifiedBy>Eliana Teles Bastos</cp:lastModifiedBy>
  <cp:revision/>
  <cp:lastPrinted>2024-11-26T19:39:26Z</cp:lastPrinted>
  <dcterms:created xsi:type="dcterms:W3CDTF">2001-05-31T12:19:52Z</dcterms:created>
  <dcterms:modified xsi:type="dcterms:W3CDTF">2026-02-13T14:04:06Z</dcterms:modified>
  <cp:category/>
  <cp:contentStatus/>
</cp:coreProperties>
</file>